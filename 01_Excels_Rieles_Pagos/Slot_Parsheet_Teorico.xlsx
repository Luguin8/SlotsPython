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RTP" sheetId="1" r:id="rId1"/>
    <sheet name="Base Game" sheetId="2" r:id="rId2"/>
    <sheet name="FS_Wild5_x1" sheetId="3" r:id="rId3"/>
    <sheet name="FS_Wild6_x2" sheetId="4" r:id="rId4"/>
    <sheet name="FS_Wild7_x2" sheetId="5" r:id="rId5"/>
    <sheet name="FS_Wild8_x3" sheetId="6" r:id="rId6"/>
  </sheets>
  <calcPr calcId="124519" fullCalcOnLoad="1"/>
</workbook>
</file>

<file path=xl/sharedStrings.xml><?xml version="1.0" encoding="utf-8"?>
<sst xmlns="http://schemas.openxmlformats.org/spreadsheetml/2006/main" count="180" uniqueCount="49">
  <si>
    <t>Symbol</t>
  </si>
  <si>
    <t>Pay 5</t>
  </si>
  <si>
    <t>Pay 4</t>
  </si>
  <si>
    <t>Pay 3</t>
  </si>
  <si>
    <t>R1 Sym</t>
  </si>
  <si>
    <t>R2 Sym</t>
  </si>
  <si>
    <t>R3 Sym</t>
  </si>
  <si>
    <t>R4 Sym</t>
  </si>
  <si>
    <t>R5 Sym</t>
  </si>
  <si>
    <t>R1 Wild</t>
  </si>
  <si>
    <t>R2 Wild</t>
  </si>
  <si>
    <t>R3 Wild</t>
  </si>
  <si>
    <t>R4 Wild</t>
  </si>
  <si>
    <t>R5 Wild</t>
  </si>
  <si>
    <t>Prob 5 Hit</t>
  </si>
  <si>
    <t>Prob 5 Pure</t>
  </si>
  <si>
    <t>EV 5</t>
  </si>
  <si>
    <t>Prob 4 Hit</t>
  </si>
  <si>
    <t>Prob 4 Pure</t>
  </si>
  <si>
    <t>EV 4</t>
  </si>
  <si>
    <t>Prob 3 Hit</t>
  </si>
  <si>
    <t>Prob 3 Pure</t>
  </si>
  <si>
    <t>EV 3</t>
  </si>
  <si>
    <t>TOTAL EV %</t>
  </si>
  <si>
    <t>L1</t>
  </si>
  <si>
    <t>L2</t>
  </si>
  <si>
    <t>L3</t>
  </si>
  <si>
    <t>L4</t>
  </si>
  <si>
    <t>H1</t>
  </si>
  <si>
    <t>H2</t>
  </si>
  <si>
    <t>H3</t>
  </si>
  <si>
    <t>H4</t>
  </si>
  <si>
    <t>TOTAL ESCENARIO:</t>
  </si>
  <si>
    <t>ONLY WILDS</t>
  </si>
  <si>
    <t>COMPONENTE</t>
  </si>
  <si>
    <t>RTP %</t>
  </si>
  <si>
    <t>RTP Juego Base</t>
  </si>
  <si>
    <t>CÁLCULO FREE SPINS</t>
  </si>
  <si>
    <t>EV Escenario 1 (Peso 32.53%)</t>
  </si>
  <si>
    <t>EV Escenario 2 (Peso 27.47%)</t>
  </si>
  <si>
    <t>EV Escenario 3 (Peso 30.00%)</t>
  </si>
  <si>
    <t>EV Escenario 4 (Peso 10.00%)</t>
  </si>
  <si>
    <t>EV Promedio por Giro FS</t>
  </si>
  <si>
    <t>Probabilidad Entrada</t>
  </si>
  <si>
    <t>Giros Promedio</t>
  </si>
  <si>
    <t>Apuesta Total</t>
  </si>
  <si>
    <t>RTP Free Spins</t>
  </si>
  <si>
    <t>RTP Jackpot</t>
  </si>
  <si>
    <t>RTP TOTAL TEÓRICO</t>
  </si>
</sst>
</file>

<file path=xl/styles.xml><?xml version="1.0" encoding="utf-8"?>
<styleSheet xmlns="http://schemas.openxmlformats.org/spreadsheetml/2006/main">
  <numFmts count="4">
    <numFmt numFmtId="164" formatCode="0.00%"/>
    <numFmt numFmtId="165" formatCode="0.00"/>
    <numFmt numFmtId="166" formatCode="0.000000"/>
    <numFmt numFmtId="167" formatCode="0.0000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64" fontId="0" fillId="0" borderId="1" xfId="0" applyNumberFormat="1" applyBorder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34</v>
      </c>
      <c r="B1" s="1" t="s">
        <v>35</v>
      </c>
    </row>
    <row r="2" spans="1:2">
      <c r="A2" t="s">
        <v>36</v>
      </c>
      <c r="B2" s="2">
        <f>'Base Game'!X10</f>
        <v>0</v>
      </c>
    </row>
    <row r="3" spans="1:2">
      <c r="A3" t="s">
        <v>46</v>
      </c>
      <c r="B3" s="2">
        <f>(B11*B12*B13)/B14</f>
        <v>0</v>
      </c>
    </row>
    <row r="4" spans="1:2">
      <c r="A4" t="s">
        <v>47</v>
      </c>
      <c r="B4" s="2">
        <v>0.06</v>
      </c>
    </row>
    <row r="5" spans="1:2">
      <c r="A5" s="1" t="s">
        <v>48</v>
      </c>
      <c r="B5" s="2">
        <f>(B2/B14) + B3 + B4</f>
        <v>0</v>
      </c>
    </row>
    <row r="6" spans="1:2">
      <c r="A6" s="1" t="s">
        <v>37</v>
      </c>
    </row>
    <row r="7" spans="1:2">
      <c r="A7" t="s">
        <v>38</v>
      </c>
      <c r="B7" s="3">
        <f>'FS_Wild5_x1'!X10</f>
        <v>0</v>
      </c>
    </row>
    <row r="8" spans="1:2">
      <c r="A8" t="s">
        <v>39</v>
      </c>
      <c r="B8" s="3">
        <f>'FS_Wild6_x2'!X10</f>
        <v>0</v>
      </c>
    </row>
    <row r="9" spans="1:2">
      <c r="A9" t="s">
        <v>40</v>
      </c>
      <c r="B9" s="3">
        <f>'FS_Wild7_x2'!X10</f>
        <v>0</v>
      </c>
    </row>
    <row r="10" spans="1:2">
      <c r="A10" t="s">
        <v>41</v>
      </c>
      <c r="B10" s="3">
        <f>'FS_Wild8_x3'!X10</f>
        <v>0</v>
      </c>
    </row>
    <row r="11" spans="1:2">
      <c r="A11" t="s">
        <v>42</v>
      </c>
      <c r="B11" s="3">
        <f>B7*0.32530000000000003+B8*0.2747+B9*0.3+B10*0.1</f>
        <v>0</v>
      </c>
    </row>
    <row r="12" spans="1:2">
      <c r="A12" t="s">
        <v>43</v>
      </c>
      <c r="B12" s="4">
        <v>0.00605</v>
      </c>
    </row>
    <row r="13" spans="1:2">
      <c r="A13" t="s">
        <v>44</v>
      </c>
      <c r="B13" s="3">
        <v>10.24</v>
      </c>
    </row>
    <row r="14" spans="1:2">
      <c r="A14" t="s">
        <v>45</v>
      </c>
      <c r="B1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0"/>
  <sheetViews>
    <sheetView workbookViewId="0"/>
  </sheetViews>
  <sheetFormatPr defaultRowHeight="15"/>
  <sheetData>
    <row r="1" spans="1:2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>
      <c r="A2" s="6" t="s">
        <v>24</v>
      </c>
      <c r="B2" s="6">
        <v>70</v>
      </c>
      <c r="C2" s="6">
        <v>25</v>
      </c>
      <c r="D2" s="6">
        <v>10</v>
      </c>
      <c r="E2" s="6">
        <v>18</v>
      </c>
      <c r="F2" s="6">
        <v>18</v>
      </c>
      <c r="G2" s="6">
        <v>17</v>
      </c>
      <c r="H2" s="6">
        <v>18</v>
      </c>
      <c r="I2" s="6">
        <v>16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7">
        <f>((E2+J2)/99)*((F2+K2)/98)*((G2+L2)/99)*((H2+M2)/98)*((I2+N2)/99)</f>
        <v>0</v>
      </c>
      <c r="P2" s="7">
        <f>(E2/99)*(F2/98)*(G2/99)*(H2/98)*(I2/99)</f>
        <v>0</v>
      </c>
      <c r="Q2" s="7">
        <f>(P2*B2) + ((O2-P2)*B2*1)</f>
        <v>0</v>
      </c>
      <c r="R2" s="7">
        <f>((E2+J2)/99)*((F2+K2)/98)*((G2+L2)/99)*((H2+M2)/98)*(1-((I2+N2)/99))</f>
        <v>0</v>
      </c>
      <c r="S2" s="7">
        <f>(E2/99)*(F2/98)*(G2/99)*(H2/98)*(1-(I2/99))</f>
        <v>0</v>
      </c>
      <c r="T2" s="7">
        <f>(S2*C2) + ((R2-S2)*C2*1)</f>
        <v>0</v>
      </c>
      <c r="U2" s="7">
        <f>((E2+J2)/99)*((F2+K2)/98)*((G2+L2)/99)*(1-((H2+M2)/98))</f>
        <v>0</v>
      </c>
      <c r="V2" s="7">
        <f>(E2/99)*(F2/98)*(G2/99)*(1-(H2/98))</f>
        <v>0</v>
      </c>
      <c r="W2" s="7">
        <f>(V2*D2) + ((U2-V2)*D2*1)</f>
        <v>0</v>
      </c>
      <c r="X2" s="7">
        <f>Q2+T2+W2</f>
        <v>0</v>
      </c>
    </row>
    <row r="3" spans="1:24">
      <c r="A3" s="6" t="s">
        <v>25</v>
      </c>
      <c r="B3" s="6">
        <v>70</v>
      </c>
      <c r="C3" s="6">
        <v>25</v>
      </c>
      <c r="D3" s="6">
        <v>10</v>
      </c>
      <c r="E3" s="6">
        <v>19</v>
      </c>
      <c r="F3" s="6">
        <v>19</v>
      </c>
      <c r="G3" s="6">
        <v>19</v>
      </c>
      <c r="H3" s="6">
        <v>17</v>
      </c>
      <c r="I3" s="6">
        <v>13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7">
        <f>((E3+J3)/99)*((F3+K3)/98)*((G3+L3)/99)*((H3+M3)/98)*((I3+N3)/99)</f>
        <v>0</v>
      </c>
      <c r="P3" s="7">
        <f>(E3/99)*(F3/98)*(G3/99)*(H3/98)*(I3/99)</f>
        <v>0</v>
      </c>
      <c r="Q3" s="7">
        <f>(P3*B3) + ((O3-P3)*B3*1)</f>
        <v>0</v>
      </c>
      <c r="R3" s="7">
        <f>((E3+J3)/99)*((F3+K3)/98)*((G3+L3)/99)*((H3+M3)/98)*(1-((I3+N3)/99))</f>
        <v>0</v>
      </c>
      <c r="S3" s="7">
        <f>(E3/99)*(F3/98)*(G3/99)*(H3/98)*(1-(I3/99))</f>
        <v>0</v>
      </c>
      <c r="T3" s="7">
        <f>(S3*C3) + ((R3-S3)*C3*1)</f>
        <v>0</v>
      </c>
      <c r="U3" s="7">
        <f>((E3+J3)/99)*((F3+K3)/98)*((G3+L3)/99)*(1-((H3+M3)/98))</f>
        <v>0</v>
      </c>
      <c r="V3" s="7">
        <f>(E3/99)*(F3/98)*(G3/99)*(1-(H3/98))</f>
        <v>0</v>
      </c>
      <c r="W3" s="7">
        <f>(V3*D3) + ((U3-V3)*D3*1)</f>
        <v>0</v>
      </c>
      <c r="X3" s="7">
        <f>Q3+T3+W3</f>
        <v>0</v>
      </c>
    </row>
    <row r="4" spans="1:24">
      <c r="A4" s="6" t="s">
        <v>26</v>
      </c>
      <c r="B4" s="6">
        <v>110</v>
      </c>
      <c r="C4" s="6">
        <v>40</v>
      </c>
      <c r="D4" s="6">
        <v>15</v>
      </c>
      <c r="E4" s="6">
        <v>19</v>
      </c>
      <c r="F4" s="6">
        <v>18</v>
      </c>
      <c r="G4" s="6">
        <v>18</v>
      </c>
      <c r="H4" s="6">
        <v>17</v>
      </c>
      <c r="I4" s="6">
        <v>14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7">
        <f>((E4+J4)/99)*((F4+K4)/98)*((G4+L4)/99)*((H4+M4)/98)*((I4+N4)/99)</f>
        <v>0</v>
      </c>
      <c r="P4" s="7">
        <f>(E4/99)*(F4/98)*(G4/99)*(H4/98)*(I4/99)</f>
        <v>0</v>
      </c>
      <c r="Q4" s="7">
        <f>(P4*B4) + ((O4-P4)*B4*1)</f>
        <v>0</v>
      </c>
      <c r="R4" s="7">
        <f>((E4+J4)/99)*((F4+K4)/98)*((G4+L4)/99)*((H4+M4)/98)*(1-((I4+N4)/99))</f>
        <v>0</v>
      </c>
      <c r="S4" s="7">
        <f>(E4/99)*(F4/98)*(G4/99)*(H4/98)*(1-(I4/99))</f>
        <v>0</v>
      </c>
      <c r="T4" s="7">
        <f>(S4*C4) + ((R4-S4)*C4*1)</f>
        <v>0</v>
      </c>
      <c r="U4" s="7">
        <f>((E4+J4)/99)*((F4+K4)/98)*((G4+L4)/99)*(1-((H4+M4)/98))</f>
        <v>0</v>
      </c>
      <c r="V4" s="7">
        <f>(E4/99)*(F4/98)*(G4/99)*(1-(H4/98))</f>
        <v>0</v>
      </c>
      <c r="W4" s="7">
        <f>(V4*D4) + ((U4-V4)*D4*1)</f>
        <v>0</v>
      </c>
      <c r="X4" s="7">
        <f>Q4+T4+W4</f>
        <v>0</v>
      </c>
    </row>
    <row r="5" spans="1:24">
      <c r="A5" s="6" t="s">
        <v>27</v>
      </c>
      <c r="B5" s="6">
        <v>110</v>
      </c>
      <c r="C5" s="6">
        <v>40</v>
      </c>
      <c r="D5" s="6">
        <v>15</v>
      </c>
      <c r="E5" s="6">
        <v>18</v>
      </c>
      <c r="F5" s="6">
        <v>18</v>
      </c>
      <c r="G5" s="6">
        <v>17</v>
      </c>
      <c r="H5" s="6">
        <v>16</v>
      </c>
      <c r="I5" s="6">
        <v>16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7">
        <f>((E5+J5)/99)*((F5+K5)/98)*((G5+L5)/99)*((H5+M5)/98)*((I5+N5)/99)</f>
        <v>0</v>
      </c>
      <c r="P5" s="7">
        <f>(E5/99)*(F5/98)*(G5/99)*(H5/98)*(I5/99)</f>
        <v>0</v>
      </c>
      <c r="Q5" s="7">
        <f>(P5*B5) + ((O5-P5)*B5*1)</f>
        <v>0</v>
      </c>
      <c r="R5" s="7">
        <f>((E5+J5)/99)*((F5+K5)/98)*((G5+L5)/99)*((H5+M5)/98)*(1-((I5+N5)/99))</f>
        <v>0</v>
      </c>
      <c r="S5" s="7">
        <f>(E5/99)*(F5/98)*(G5/99)*(H5/98)*(1-(I5/99))</f>
        <v>0</v>
      </c>
      <c r="T5" s="7">
        <f>(S5*C5) + ((R5-S5)*C5*1)</f>
        <v>0</v>
      </c>
      <c r="U5" s="7">
        <f>((E5+J5)/99)*((F5+K5)/98)*((G5+L5)/99)*(1-((H5+M5)/98))</f>
        <v>0</v>
      </c>
      <c r="V5" s="7">
        <f>(E5/99)*(F5/98)*(G5/99)*(1-(H5/98))</f>
        <v>0</v>
      </c>
      <c r="W5" s="7">
        <f>(V5*D5) + ((U5-V5)*D5*1)</f>
        <v>0</v>
      </c>
      <c r="X5" s="7">
        <f>Q5+T5+W5</f>
        <v>0</v>
      </c>
    </row>
    <row r="6" spans="1:24">
      <c r="A6" s="6" t="s">
        <v>28</v>
      </c>
      <c r="B6" s="6">
        <v>230</v>
      </c>
      <c r="C6" s="6">
        <v>55</v>
      </c>
      <c r="D6" s="6">
        <v>20</v>
      </c>
      <c r="E6" s="6">
        <v>7</v>
      </c>
      <c r="F6" s="6">
        <v>7</v>
      </c>
      <c r="G6" s="6">
        <v>8</v>
      </c>
      <c r="H6" s="6">
        <v>8</v>
      </c>
      <c r="I6" s="6">
        <v>9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7">
        <f>((E6+J6)/99)*((F6+K6)/98)*((G6+L6)/99)*((H6+M6)/98)*((I6+N6)/99)</f>
        <v>0</v>
      </c>
      <c r="P6" s="7">
        <f>(E6/99)*(F6/98)*(G6/99)*(H6/98)*(I6/99)</f>
        <v>0</v>
      </c>
      <c r="Q6" s="7">
        <f>(P6*B6) + ((O6-P6)*B6*1)</f>
        <v>0</v>
      </c>
      <c r="R6" s="7">
        <f>((E6+J6)/99)*((F6+K6)/98)*((G6+L6)/99)*((H6+M6)/98)*(1-((I6+N6)/99))</f>
        <v>0</v>
      </c>
      <c r="S6" s="7">
        <f>(E6/99)*(F6/98)*(G6/99)*(H6/98)*(1-(I6/99))</f>
        <v>0</v>
      </c>
      <c r="T6" s="7">
        <f>(S6*C6) + ((R6-S6)*C6*1)</f>
        <v>0</v>
      </c>
      <c r="U6" s="7">
        <f>((E6+J6)/99)*((F6+K6)/98)*((G6+L6)/99)*(1-((H6+M6)/98))</f>
        <v>0</v>
      </c>
      <c r="V6" s="7">
        <f>(E6/99)*(F6/98)*(G6/99)*(1-(H6/98))</f>
        <v>0</v>
      </c>
      <c r="W6" s="7">
        <f>(V6*D6) + ((U6-V6)*D6*1)</f>
        <v>0</v>
      </c>
      <c r="X6" s="7">
        <f>Q6+T6+W6</f>
        <v>0</v>
      </c>
    </row>
    <row r="7" spans="1:24">
      <c r="A7" s="6" t="s">
        <v>29</v>
      </c>
      <c r="B7" s="6">
        <v>560</v>
      </c>
      <c r="C7" s="6">
        <v>95</v>
      </c>
      <c r="D7" s="6">
        <v>32</v>
      </c>
      <c r="E7" s="6">
        <v>6</v>
      </c>
      <c r="F7" s="6">
        <v>6</v>
      </c>
      <c r="G7" s="6">
        <v>6</v>
      </c>
      <c r="H7" s="6">
        <v>7</v>
      </c>
      <c r="I7" s="6">
        <v>9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7">
        <f>((E7+J7)/99)*((F7+K7)/98)*((G7+L7)/99)*((H7+M7)/98)*((I7+N7)/99)</f>
        <v>0</v>
      </c>
      <c r="P7" s="7">
        <f>(E7/99)*(F7/98)*(G7/99)*(H7/98)*(I7/99)</f>
        <v>0</v>
      </c>
      <c r="Q7" s="7">
        <f>(P7*B7) + ((O7-P7)*B7*1)</f>
        <v>0</v>
      </c>
      <c r="R7" s="7">
        <f>((E7+J7)/99)*((F7+K7)/98)*((G7+L7)/99)*((H7+M7)/98)*(1-((I7+N7)/99))</f>
        <v>0</v>
      </c>
      <c r="S7" s="7">
        <f>(E7/99)*(F7/98)*(G7/99)*(H7/98)*(1-(I7/99))</f>
        <v>0</v>
      </c>
      <c r="T7" s="7">
        <f>(S7*C7) + ((R7-S7)*C7*1)</f>
        <v>0</v>
      </c>
      <c r="U7" s="7">
        <f>((E7+J7)/99)*((F7+K7)/98)*((G7+L7)/99)*(1-((H7+M7)/98))</f>
        <v>0</v>
      </c>
      <c r="V7" s="7">
        <f>(E7/99)*(F7/98)*(G7/99)*(1-(H7/98))</f>
        <v>0</v>
      </c>
      <c r="W7" s="7">
        <f>(V7*D7) + ((U7-V7)*D7*1)</f>
        <v>0</v>
      </c>
      <c r="X7" s="7">
        <f>Q7+T7+W7</f>
        <v>0</v>
      </c>
    </row>
    <row r="8" spans="1:24">
      <c r="A8" s="6" t="s">
        <v>30</v>
      </c>
      <c r="B8" s="6">
        <v>560</v>
      </c>
      <c r="C8" s="6">
        <v>95</v>
      </c>
      <c r="D8" s="6">
        <v>32</v>
      </c>
      <c r="E8" s="6">
        <v>5</v>
      </c>
      <c r="F8" s="6">
        <v>5</v>
      </c>
      <c r="G8" s="6">
        <v>6</v>
      </c>
      <c r="H8" s="6">
        <v>7</v>
      </c>
      <c r="I8" s="6">
        <v>10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7">
        <f>((E8+J8)/99)*((F8+K8)/98)*((G8+L8)/99)*((H8+M8)/98)*((I8+N8)/99)</f>
        <v>0</v>
      </c>
      <c r="P8" s="7">
        <f>(E8/99)*(F8/98)*(G8/99)*(H8/98)*(I8/99)</f>
        <v>0</v>
      </c>
      <c r="Q8" s="7">
        <f>(P8*B8) + ((O8-P8)*B8*1)</f>
        <v>0</v>
      </c>
      <c r="R8" s="7">
        <f>((E8+J8)/99)*((F8+K8)/98)*((G8+L8)/99)*((H8+M8)/98)*(1-((I8+N8)/99))</f>
        <v>0</v>
      </c>
      <c r="S8" s="7">
        <f>(E8/99)*(F8/98)*(G8/99)*(H8/98)*(1-(I8/99))</f>
        <v>0</v>
      </c>
      <c r="T8" s="7">
        <f>(S8*C8) + ((R8-S8)*C8*1)</f>
        <v>0</v>
      </c>
      <c r="U8" s="7">
        <f>((E8+J8)/99)*((F8+K8)/98)*((G8+L8)/99)*(1-((H8+M8)/98))</f>
        <v>0</v>
      </c>
      <c r="V8" s="7">
        <f>(E8/99)*(F8/98)*(G8/99)*(1-(H8/98))</f>
        <v>0</v>
      </c>
      <c r="W8" s="7">
        <f>(V8*D8) + ((U8-V8)*D8*1)</f>
        <v>0</v>
      </c>
      <c r="X8" s="7">
        <f>Q8+T8+W8</f>
        <v>0</v>
      </c>
    </row>
    <row r="9" spans="1:24">
      <c r="A9" s="6" t="s">
        <v>31</v>
      </c>
      <c r="B9" s="6">
        <v>1600</v>
      </c>
      <c r="C9" s="6">
        <v>200</v>
      </c>
      <c r="D9" s="6">
        <v>50</v>
      </c>
      <c r="E9" s="6">
        <v>4</v>
      </c>
      <c r="F9" s="6">
        <v>4</v>
      </c>
      <c r="G9" s="6">
        <v>5</v>
      </c>
      <c r="H9" s="6">
        <v>5</v>
      </c>
      <c r="I9" s="6">
        <v>9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7">
        <f>((E9+J9)/99)*((F9+K9)/98)*((G9+L9)/99)*((H9+M9)/98)*((I9+N9)/99)</f>
        <v>0</v>
      </c>
      <c r="P9" s="7">
        <f>(E9/99)*(F9/98)*(G9/99)*(H9/98)*(I9/99)</f>
        <v>0</v>
      </c>
      <c r="Q9" s="7">
        <f>(P9*B9) + ((O9-P9)*B9*1)</f>
        <v>0</v>
      </c>
      <c r="R9" s="7">
        <f>((E9+J9)/99)*((F9+K9)/98)*((G9+L9)/99)*((H9+M9)/98)*(1-((I9+N9)/99))</f>
        <v>0</v>
      </c>
      <c r="S9" s="7">
        <f>(E9/99)*(F9/98)*(G9/99)*(H9/98)*(1-(I9/99))</f>
        <v>0</v>
      </c>
      <c r="T9" s="7">
        <f>(S9*C9) + ((R9-S9)*C9*1)</f>
        <v>0</v>
      </c>
      <c r="U9" s="7">
        <f>((E9+J9)/99)*((F9+K9)/98)*((G9+L9)/99)*(1-((H9+M9)/98))</f>
        <v>0</v>
      </c>
      <c r="V9" s="7">
        <f>(E9/99)*(F9/98)*(G9/99)*(1-(H9/98))</f>
        <v>0</v>
      </c>
      <c r="W9" s="7">
        <f>(V9*D9) + ((U9-V9)*D9*1)</f>
        <v>0</v>
      </c>
      <c r="X9" s="7">
        <f>Q9+T9+W9</f>
        <v>0</v>
      </c>
    </row>
    <row r="10" spans="1:24">
      <c r="W10" s="5" t="s">
        <v>32</v>
      </c>
      <c r="X10" s="7">
        <f>SUM(X2,X3,X4,X5,X6,X7,X8,X9)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0"/>
  <sheetViews>
    <sheetView workbookViewId="0"/>
  </sheetViews>
  <sheetFormatPr defaultRowHeight="15"/>
  <sheetData>
    <row r="1" spans="1:2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>
      <c r="A2" s="6" t="s">
        <v>24</v>
      </c>
      <c r="B2" s="6">
        <v>70</v>
      </c>
      <c r="C2" s="6">
        <v>25</v>
      </c>
      <c r="D2" s="6">
        <v>10</v>
      </c>
      <c r="E2" s="6">
        <v>9</v>
      </c>
      <c r="F2" s="6">
        <v>9</v>
      </c>
      <c r="G2" s="6">
        <v>9</v>
      </c>
      <c r="H2" s="6">
        <v>9</v>
      </c>
      <c r="I2" s="6">
        <v>9</v>
      </c>
      <c r="J2" s="6">
        <v>9</v>
      </c>
      <c r="K2" s="6">
        <v>9</v>
      </c>
      <c r="L2" s="6">
        <v>9</v>
      </c>
      <c r="M2" s="6">
        <v>9</v>
      </c>
      <c r="N2" s="6">
        <v>9</v>
      </c>
      <c r="O2" s="7">
        <f>((E2+J2)/70)*((F2+K2)/70)*((G2+L2)/70)*((H2+M2)/70)*((I2+N2)/70)</f>
        <v>0</v>
      </c>
      <c r="P2" s="7">
        <f>(E2/70)*(F2/70)*(G2/70)*(H2/70)*(I2/70)</f>
        <v>0</v>
      </c>
      <c r="Q2" s="7">
        <f>(P2*B2) + ((O2-P2)*B2*1)</f>
        <v>0</v>
      </c>
      <c r="R2" s="7">
        <f>((E2+J2)/70)*((F2+K2)/70)*((G2+L2)/70)*((H2+M2)/70)*(1-((I2+N2)/70))</f>
        <v>0</v>
      </c>
      <c r="S2" s="7">
        <f>(E2/70)*(F2/70)*(G2/70)*(H2/70)*(1-(I2/70))</f>
        <v>0</v>
      </c>
      <c r="T2" s="7">
        <f>(S2*C2) + ((R2-S2)*C2*1)</f>
        <v>0</v>
      </c>
      <c r="U2" s="7">
        <f>((E2+J2)/70)*((F2+K2)/70)*((G2+L2)/70)*(1-((H2+M2)/70))</f>
        <v>0</v>
      </c>
      <c r="V2" s="7">
        <f>(E2/70)*(F2/70)*(G2/70)*(1-(H2/70))</f>
        <v>0</v>
      </c>
      <c r="W2" s="7">
        <f>(V2*D2) + ((U2-V2)*D2*1)</f>
        <v>0</v>
      </c>
      <c r="X2" s="7">
        <f>Q2+T2+W2</f>
        <v>0</v>
      </c>
    </row>
    <row r="3" spans="1:24">
      <c r="A3" s="6" t="s">
        <v>25</v>
      </c>
      <c r="B3" s="6">
        <v>70</v>
      </c>
      <c r="C3" s="6">
        <v>25</v>
      </c>
      <c r="D3" s="6">
        <v>10</v>
      </c>
      <c r="E3" s="6">
        <v>9</v>
      </c>
      <c r="F3" s="6">
        <v>9</v>
      </c>
      <c r="G3" s="6">
        <v>9</v>
      </c>
      <c r="H3" s="6">
        <v>9</v>
      </c>
      <c r="I3" s="6">
        <v>9</v>
      </c>
      <c r="J3" s="6">
        <v>9</v>
      </c>
      <c r="K3" s="6">
        <v>9</v>
      </c>
      <c r="L3" s="6">
        <v>9</v>
      </c>
      <c r="M3" s="6">
        <v>9</v>
      </c>
      <c r="N3" s="6">
        <v>9</v>
      </c>
      <c r="O3" s="7">
        <f>((E3+J3)/70)*((F3+K3)/70)*((G3+L3)/70)*((H3+M3)/70)*((I3+N3)/70)</f>
        <v>0</v>
      </c>
      <c r="P3" s="7">
        <f>(E3/70)*(F3/70)*(G3/70)*(H3/70)*(I3/70)</f>
        <v>0</v>
      </c>
      <c r="Q3" s="7">
        <f>(P3*B3) + ((O3-P3)*B3*1)</f>
        <v>0</v>
      </c>
      <c r="R3" s="7">
        <f>((E3+J3)/70)*((F3+K3)/70)*((G3+L3)/70)*((H3+M3)/70)*(1-((I3+N3)/70))</f>
        <v>0</v>
      </c>
      <c r="S3" s="7">
        <f>(E3/70)*(F3/70)*(G3/70)*(H3/70)*(1-(I3/70))</f>
        <v>0</v>
      </c>
      <c r="T3" s="7">
        <f>(S3*C3) + ((R3-S3)*C3*1)</f>
        <v>0</v>
      </c>
      <c r="U3" s="7">
        <f>((E3+J3)/70)*((F3+K3)/70)*((G3+L3)/70)*(1-((H3+M3)/70))</f>
        <v>0</v>
      </c>
      <c r="V3" s="7">
        <f>(E3/70)*(F3/70)*(G3/70)*(1-(H3/70))</f>
        <v>0</v>
      </c>
      <c r="W3" s="7">
        <f>(V3*D3) + ((U3-V3)*D3*1)</f>
        <v>0</v>
      </c>
      <c r="X3" s="7">
        <f>Q3+T3+W3</f>
        <v>0</v>
      </c>
    </row>
    <row r="4" spans="1:24">
      <c r="A4" s="6" t="s">
        <v>26</v>
      </c>
      <c r="B4" s="6">
        <v>110</v>
      </c>
      <c r="C4" s="6">
        <v>40</v>
      </c>
      <c r="D4" s="6">
        <v>15</v>
      </c>
      <c r="E4" s="6">
        <v>9</v>
      </c>
      <c r="F4" s="6">
        <v>9</v>
      </c>
      <c r="G4" s="6">
        <v>9</v>
      </c>
      <c r="H4" s="6">
        <v>9</v>
      </c>
      <c r="I4" s="6">
        <v>9</v>
      </c>
      <c r="J4" s="6">
        <v>9</v>
      </c>
      <c r="K4" s="6">
        <v>9</v>
      </c>
      <c r="L4" s="6">
        <v>9</v>
      </c>
      <c r="M4" s="6">
        <v>9</v>
      </c>
      <c r="N4" s="6">
        <v>9</v>
      </c>
      <c r="O4" s="7">
        <f>((E4+J4)/70)*((F4+K4)/70)*((G4+L4)/70)*((H4+M4)/70)*((I4+N4)/70)</f>
        <v>0</v>
      </c>
      <c r="P4" s="7">
        <f>(E4/70)*(F4/70)*(G4/70)*(H4/70)*(I4/70)</f>
        <v>0</v>
      </c>
      <c r="Q4" s="7">
        <f>(P4*B4) + ((O4-P4)*B4*1)</f>
        <v>0</v>
      </c>
      <c r="R4" s="7">
        <f>((E4+J4)/70)*((F4+K4)/70)*((G4+L4)/70)*((H4+M4)/70)*(1-((I4+N4)/70))</f>
        <v>0</v>
      </c>
      <c r="S4" s="7">
        <f>(E4/70)*(F4/70)*(G4/70)*(H4/70)*(1-(I4/70))</f>
        <v>0</v>
      </c>
      <c r="T4" s="7">
        <f>(S4*C4) + ((R4-S4)*C4*1)</f>
        <v>0</v>
      </c>
      <c r="U4" s="7">
        <f>((E4+J4)/70)*((F4+K4)/70)*((G4+L4)/70)*(1-((H4+M4)/70))</f>
        <v>0</v>
      </c>
      <c r="V4" s="7">
        <f>(E4/70)*(F4/70)*(G4/70)*(1-(H4/70))</f>
        <v>0</v>
      </c>
      <c r="W4" s="7">
        <f>(V4*D4) + ((U4-V4)*D4*1)</f>
        <v>0</v>
      </c>
      <c r="X4" s="7">
        <f>Q4+T4+W4</f>
        <v>0</v>
      </c>
    </row>
    <row r="5" spans="1:24">
      <c r="A5" s="6" t="s">
        <v>27</v>
      </c>
      <c r="B5" s="6">
        <v>110</v>
      </c>
      <c r="C5" s="6">
        <v>40</v>
      </c>
      <c r="D5" s="6">
        <v>15</v>
      </c>
      <c r="E5" s="6">
        <v>9</v>
      </c>
      <c r="F5" s="6">
        <v>9</v>
      </c>
      <c r="G5" s="6">
        <v>9</v>
      </c>
      <c r="H5" s="6">
        <v>9</v>
      </c>
      <c r="I5" s="6">
        <v>9</v>
      </c>
      <c r="J5" s="6">
        <v>9</v>
      </c>
      <c r="K5" s="6">
        <v>9</v>
      </c>
      <c r="L5" s="6">
        <v>9</v>
      </c>
      <c r="M5" s="6">
        <v>9</v>
      </c>
      <c r="N5" s="6">
        <v>9</v>
      </c>
      <c r="O5" s="7">
        <f>((E5+J5)/70)*((F5+K5)/70)*((G5+L5)/70)*((H5+M5)/70)*((I5+N5)/70)</f>
        <v>0</v>
      </c>
      <c r="P5" s="7">
        <f>(E5/70)*(F5/70)*(G5/70)*(H5/70)*(I5/70)</f>
        <v>0</v>
      </c>
      <c r="Q5" s="7">
        <f>(P5*B5) + ((O5-P5)*B5*1)</f>
        <v>0</v>
      </c>
      <c r="R5" s="7">
        <f>((E5+J5)/70)*((F5+K5)/70)*((G5+L5)/70)*((H5+M5)/70)*(1-((I5+N5)/70))</f>
        <v>0</v>
      </c>
      <c r="S5" s="7">
        <f>(E5/70)*(F5/70)*(G5/70)*(H5/70)*(1-(I5/70))</f>
        <v>0</v>
      </c>
      <c r="T5" s="7">
        <f>(S5*C5) + ((R5-S5)*C5*1)</f>
        <v>0</v>
      </c>
      <c r="U5" s="7">
        <f>((E5+J5)/70)*((F5+K5)/70)*((G5+L5)/70)*(1-((H5+M5)/70))</f>
        <v>0</v>
      </c>
      <c r="V5" s="7">
        <f>(E5/70)*(F5/70)*(G5/70)*(1-(H5/70))</f>
        <v>0</v>
      </c>
      <c r="W5" s="7">
        <f>(V5*D5) + ((U5-V5)*D5*1)</f>
        <v>0</v>
      </c>
      <c r="X5" s="7">
        <f>Q5+T5+W5</f>
        <v>0</v>
      </c>
    </row>
    <row r="6" spans="1:24">
      <c r="A6" s="6" t="s">
        <v>29</v>
      </c>
      <c r="B6" s="6">
        <v>560</v>
      </c>
      <c r="C6" s="6">
        <v>95</v>
      </c>
      <c r="D6" s="6">
        <v>32</v>
      </c>
      <c r="E6" s="6">
        <v>9</v>
      </c>
      <c r="F6" s="6">
        <v>9</v>
      </c>
      <c r="G6" s="6">
        <v>9</v>
      </c>
      <c r="H6" s="6">
        <v>9</v>
      </c>
      <c r="I6" s="6">
        <v>9</v>
      </c>
      <c r="J6" s="6">
        <v>9</v>
      </c>
      <c r="K6" s="6">
        <v>9</v>
      </c>
      <c r="L6" s="6">
        <v>9</v>
      </c>
      <c r="M6" s="6">
        <v>9</v>
      </c>
      <c r="N6" s="6">
        <v>9</v>
      </c>
      <c r="O6" s="7">
        <f>((E6+J6)/70)*((F6+K6)/70)*((G6+L6)/70)*((H6+M6)/70)*((I6+N6)/70)</f>
        <v>0</v>
      </c>
      <c r="P6" s="7">
        <f>(E6/70)*(F6/70)*(G6/70)*(H6/70)*(I6/70)</f>
        <v>0</v>
      </c>
      <c r="Q6" s="7">
        <f>(P6*B6) + ((O6-P6)*B6*1)</f>
        <v>0</v>
      </c>
      <c r="R6" s="7">
        <f>((E6+J6)/70)*((F6+K6)/70)*((G6+L6)/70)*((H6+M6)/70)*(1-((I6+N6)/70))</f>
        <v>0</v>
      </c>
      <c r="S6" s="7">
        <f>(E6/70)*(F6/70)*(G6/70)*(H6/70)*(1-(I6/70))</f>
        <v>0</v>
      </c>
      <c r="T6" s="7">
        <f>(S6*C6) + ((R6-S6)*C6*1)</f>
        <v>0</v>
      </c>
      <c r="U6" s="7">
        <f>((E6+J6)/70)*((F6+K6)/70)*((G6+L6)/70)*(1-((H6+M6)/70))</f>
        <v>0</v>
      </c>
      <c r="V6" s="7">
        <f>(E6/70)*(F6/70)*(G6/70)*(1-(H6/70))</f>
        <v>0</v>
      </c>
      <c r="W6" s="7">
        <f>(V6*D6) + ((U6-V6)*D6*1)</f>
        <v>0</v>
      </c>
      <c r="X6" s="7">
        <f>Q6+T6+W6</f>
        <v>0</v>
      </c>
    </row>
    <row r="7" spans="1:24">
      <c r="A7" s="6" t="s">
        <v>30</v>
      </c>
      <c r="B7" s="6">
        <v>560</v>
      </c>
      <c r="C7" s="6">
        <v>95</v>
      </c>
      <c r="D7" s="6">
        <v>32</v>
      </c>
      <c r="E7" s="6">
        <v>8</v>
      </c>
      <c r="F7" s="6">
        <v>8</v>
      </c>
      <c r="G7" s="6">
        <v>8</v>
      </c>
      <c r="H7" s="6">
        <v>8</v>
      </c>
      <c r="I7" s="6">
        <v>8</v>
      </c>
      <c r="J7" s="6">
        <v>9</v>
      </c>
      <c r="K7" s="6">
        <v>9</v>
      </c>
      <c r="L7" s="6">
        <v>9</v>
      </c>
      <c r="M7" s="6">
        <v>9</v>
      </c>
      <c r="N7" s="6">
        <v>9</v>
      </c>
      <c r="O7" s="7">
        <f>((E7+J7)/70)*((F7+K7)/70)*((G7+L7)/70)*((H7+M7)/70)*((I7+N7)/70)</f>
        <v>0</v>
      </c>
      <c r="P7" s="7">
        <f>(E7/70)*(F7/70)*(G7/70)*(H7/70)*(I7/70)</f>
        <v>0</v>
      </c>
      <c r="Q7" s="7">
        <f>(P7*B7) + ((O7-P7)*B7*1)</f>
        <v>0</v>
      </c>
      <c r="R7" s="7">
        <f>((E7+J7)/70)*((F7+K7)/70)*((G7+L7)/70)*((H7+M7)/70)*(1-((I7+N7)/70))</f>
        <v>0</v>
      </c>
      <c r="S7" s="7">
        <f>(E7/70)*(F7/70)*(G7/70)*(H7/70)*(1-(I7/70))</f>
        <v>0</v>
      </c>
      <c r="T7" s="7">
        <f>(S7*C7) + ((R7-S7)*C7*1)</f>
        <v>0</v>
      </c>
      <c r="U7" s="7">
        <f>((E7+J7)/70)*((F7+K7)/70)*((G7+L7)/70)*(1-((H7+M7)/70))</f>
        <v>0</v>
      </c>
      <c r="V7" s="7">
        <f>(E7/70)*(F7/70)*(G7/70)*(1-(H7/70))</f>
        <v>0</v>
      </c>
      <c r="W7" s="7">
        <f>(V7*D7) + ((U7-V7)*D7*1)</f>
        <v>0</v>
      </c>
      <c r="X7" s="7">
        <f>Q7+T7+W7</f>
        <v>0</v>
      </c>
    </row>
    <row r="8" spans="1:24">
      <c r="A8" s="6" t="s">
        <v>31</v>
      </c>
      <c r="B8" s="6">
        <v>1600</v>
      </c>
      <c r="C8" s="6">
        <v>200</v>
      </c>
      <c r="D8" s="6">
        <v>50</v>
      </c>
      <c r="E8" s="6">
        <v>6</v>
      </c>
      <c r="F8" s="6">
        <v>6</v>
      </c>
      <c r="G8" s="6">
        <v>6</v>
      </c>
      <c r="H8" s="6">
        <v>6</v>
      </c>
      <c r="I8" s="6">
        <v>6</v>
      </c>
      <c r="J8" s="6">
        <v>9</v>
      </c>
      <c r="K8" s="6">
        <v>9</v>
      </c>
      <c r="L8" s="6">
        <v>9</v>
      </c>
      <c r="M8" s="6">
        <v>9</v>
      </c>
      <c r="N8" s="6">
        <v>9</v>
      </c>
      <c r="O8" s="7">
        <f>((E8+J8)/70)*((F8+K8)/70)*((G8+L8)/70)*((H8+M8)/70)*((I8+N8)/70)</f>
        <v>0</v>
      </c>
      <c r="P8" s="7">
        <f>(E8/70)*(F8/70)*(G8/70)*(H8/70)*(I8/70)</f>
        <v>0</v>
      </c>
      <c r="Q8" s="7">
        <f>(P8*B8) + ((O8-P8)*B8*1)</f>
        <v>0</v>
      </c>
      <c r="R8" s="7">
        <f>((E8+J8)/70)*((F8+K8)/70)*((G8+L8)/70)*((H8+M8)/70)*(1-((I8+N8)/70))</f>
        <v>0</v>
      </c>
      <c r="S8" s="7">
        <f>(E8/70)*(F8/70)*(G8/70)*(H8/70)*(1-(I8/70))</f>
        <v>0</v>
      </c>
      <c r="T8" s="7">
        <f>(S8*C8) + ((R8-S8)*C8*1)</f>
        <v>0</v>
      </c>
      <c r="U8" s="7">
        <f>((E8+J8)/70)*((F8+K8)/70)*((G8+L8)/70)*(1-((H8+M8)/70))</f>
        <v>0</v>
      </c>
      <c r="V8" s="7">
        <f>(E8/70)*(F8/70)*(G8/70)*(1-(H8/70))</f>
        <v>0</v>
      </c>
      <c r="W8" s="7">
        <f>(V8*D8) + ((U8-V8)*D8*1)</f>
        <v>0</v>
      </c>
      <c r="X8" s="7">
        <f>Q8+T8+W8</f>
        <v>0</v>
      </c>
    </row>
    <row r="9" spans="1:24">
      <c r="A9" s="6" t="s">
        <v>33</v>
      </c>
      <c r="B9" s="6">
        <v>230</v>
      </c>
      <c r="J9" s="6">
        <v>9</v>
      </c>
      <c r="K9" s="6">
        <v>9</v>
      </c>
      <c r="L9" s="6">
        <v>9</v>
      </c>
      <c r="M9" s="6">
        <v>9</v>
      </c>
      <c r="N9" s="6">
        <v>9</v>
      </c>
      <c r="O9" s="7">
        <f>(J9/70)*(K9/70)*(L9/70)*(M9/70)*(N9/70)</f>
        <v>0</v>
      </c>
      <c r="X9" s="7">
        <f>O9*B9*1</f>
        <v>0</v>
      </c>
    </row>
    <row r="10" spans="1:24">
      <c r="W10" s="5" t="s">
        <v>32</v>
      </c>
      <c r="X10" s="7">
        <f>SUM(X2,X3,X4,X5,X6,X7,X8,X9)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0"/>
  <sheetViews>
    <sheetView workbookViewId="0"/>
  </sheetViews>
  <sheetFormatPr defaultRowHeight="15"/>
  <sheetData>
    <row r="1" spans="1:2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>
      <c r="A2" s="6" t="s">
        <v>24</v>
      </c>
      <c r="B2" s="6">
        <v>70</v>
      </c>
      <c r="C2" s="6">
        <v>25</v>
      </c>
      <c r="D2" s="6">
        <v>10</v>
      </c>
      <c r="E2" s="6">
        <v>9</v>
      </c>
      <c r="F2" s="6">
        <v>9</v>
      </c>
      <c r="G2" s="6">
        <v>9</v>
      </c>
      <c r="H2" s="6">
        <v>9</v>
      </c>
      <c r="I2" s="6">
        <v>9</v>
      </c>
      <c r="J2" s="6">
        <v>9</v>
      </c>
      <c r="K2" s="6">
        <v>9</v>
      </c>
      <c r="L2" s="6">
        <v>9</v>
      </c>
      <c r="M2" s="6">
        <v>9</v>
      </c>
      <c r="N2" s="6">
        <v>9</v>
      </c>
      <c r="O2" s="7">
        <f>((E2+J2)/70)*((F2+K2)/70)*((G2+L2)/70)*((H2+M2)/70)*((I2+N2)/70)</f>
        <v>0</v>
      </c>
      <c r="P2" s="7">
        <f>(E2/70)*(F2/70)*(G2/70)*(H2/70)*(I2/70)</f>
        <v>0</v>
      </c>
      <c r="Q2" s="7">
        <f>(P2*B2) + ((O2-P2)*B2*2)</f>
        <v>0</v>
      </c>
      <c r="R2" s="7">
        <f>((E2+J2)/70)*((F2+K2)/70)*((G2+L2)/70)*((H2+M2)/70)*(1-((I2+N2)/70))</f>
        <v>0</v>
      </c>
      <c r="S2" s="7">
        <f>(E2/70)*(F2/70)*(G2/70)*(H2/70)*(1-(I2/70))</f>
        <v>0</v>
      </c>
      <c r="T2" s="7">
        <f>(S2*C2) + ((R2-S2)*C2*2)</f>
        <v>0</v>
      </c>
      <c r="U2" s="7">
        <f>((E2+J2)/70)*((F2+K2)/70)*((G2+L2)/70)*(1-((H2+M2)/70))</f>
        <v>0</v>
      </c>
      <c r="V2" s="7">
        <f>(E2/70)*(F2/70)*(G2/70)*(1-(H2/70))</f>
        <v>0</v>
      </c>
      <c r="W2" s="7">
        <f>(V2*D2) + ((U2-V2)*D2*2)</f>
        <v>0</v>
      </c>
      <c r="X2" s="7">
        <f>Q2+T2+W2</f>
        <v>0</v>
      </c>
    </row>
    <row r="3" spans="1:24">
      <c r="A3" s="6" t="s">
        <v>25</v>
      </c>
      <c r="B3" s="6">
        <v>70</v>
      </c>
      <c r="C3" s="6">
        <v>25</v>
      </c>
      <c r="D3" s="6">
        <v>10</v>
      </c>
      <c r="E3" s="6">
        <v>9</v>
      </c>
      <c r="F3" s="6">
        <v>9</v>
      </c>
      <c r="G3" s="6">
        <v>9</v>
      </c>
      <c r="H3" s="6">
        <v>9</v>
      </c>
      <c r="I3" s="6">
        <v>9</v>
      </c>
      <c r="J3" s="6">
        <v>9</v>
      </c>
      <c r="K3" s="6">
        <v>9</v>
      </c>
      <c r="L3" s="6">
        <v>9</v>
      </c>
      <c r="M3" s="6">
        <v>9</v>
      </c>
      <c r="N3" s="6">
        <v>9</v>
      </c>
      <c r="O3" s="7">
        <f>((E3+J3)/70)*((F3+K3)/70)*((G3+L3)/70)*((H3+M3)/70)*((I3+N3)/70)</f>
        <v>0</v>
      </c>
      <c r="P3" s="7">
        <f>(E3/70)*(F3/70)*(G3/70)*(H3/70)*(I3/70)</f>
        <v>0</v>
      </c>
      <c r="Q3" s="7">
        <f>(P3*B3) + ((O3-P3)*B3*2)</f>
        <v>0</v>
      </c>
      <c r="R3" s="7">
        <f>((E3+J3)/70)*((F3+K3)/70)*((G3+L3)/70)*((H3+M3)/70)*(1-((I3+N3)/70))</f>
        <v>0</v>
      </c>
      <c r="S3" s="7">
        <f>(E3/70)*(F3/70)*(G3/70)*(H3/70)*(1-(I3/70))</f>
        <v>0</v>
      </c>
      <c r="T3" s="7">
        <f>(S3*C3) + ((R3-S3)*C3*2)</f>
        <v>0</v>
      </c>
      <c r="U3" s="7">
        <f>((E3+J3)/70)*((F3+K3)/70)*((G3+L3)/70)*(1-((H3+M3)/70))</f>
        <v>0</v>
      </c>
      <c r="V3" s="7">
        <f>(E3/70)*(F3/70)*(G3/70)*(1-(H3/70))</f>
        <v>0</v>
      </c>
      <c r="W3" s="7">
        <f>(V3*D3) + ((U3-V3)*D3*2)</f>
        <v>0</v>
      </c>
      <c r="X3" s="7">
        <f>Q3+T3+W3</f>
        <v>0</v>
      </c>
    </row>
    <row r="4" spans="1:24">
      <c r="A4" s="6" t="s">
        <v>26</v>
      </c>
      <c r="B4" s="6">
        <v>110</v>
      </c>
      <c r="C4" s="6">
        <v>40</v>
      </c>
      <c r="D4" s="6">
        <v>15</v>
      </c>
      <c r="E4" s="6">
        <v>9</v>
      </c>
      <c r="F4" s="6">
        <v>9</v>
      </c>
      <c r="G4" s="6">
        <v>9</v>
      </c>
      <c r="H4" s="6">
        <v>9</v>
      </c>
      <c r="I4" s="6">
        <v>9</v>
      </c>
      <c r="J4" s="6">
        <v>9</v>
      </c>
      <c r="K4" s="6">
        <v>9</v>
      </c>
      <c r="L4" s="6">
        <v>9</v>
      </c>
      <c r="M4" s="6">
        <v>9</v>
      </c>
      <c r="N4" s="6">
        <v>9</v>
      </c>
      <c r="O4" s="7">
        <f>((E4+J4)/70)*((F4+K4)/70)*((G4+L4)/70)*((H4+M4)/70)*((I4+N4)/70)</f>
        <v>0</v>
      </c>
      <c r="P4" s="7">
        <f>(E4/70)*(F4/70)*(G4/70)*(H4/70)*(I4/70)</f>
        <v>0</v>
      </c>
      <c r="Q4" s="7">
        <f>(P4*B4) + ((O4-P4)*B4*2)</f>
        <v>0</v>
      </c>
      <c r="R4" s="7">
        <f>((E4+J4)/70)*((F4+K4)/70)*((G4+L4)/70)*((H4+M4)/70)*(1-((I4+N4)/70))</f>
        <v>0</v>
      </c>
      <c r="S4" s="7">
        <f>(E4/70)*(F4/70)*(G4/70)*(H4/70)*(1-(I4/70))</f>
        <v>0</v>
      </c>
      <c r="T4" s="7">
        <f>(S4*C4) + ((R4-S4)*C4*2)</f>
        <v>0</v>
      </c>
      <c r="U4" s="7">
        <f>((E4+J4)/70)*((F4+K4)/70)*((G4+L4)/70)*(1-((H4+M4)/70))</f>
        <v>0</v>
      </c>
      <c r="V4" s="7">
        <f>(E4/70)*(F4/70)*(G4/70)*(1-(H4/70))</f>
        <v>0</v>
      </c>
      <c r="W4" s="7">
        <f>(V4*D4) + ((U4-V4)*D4*2)</f>
        <v>0</v>
      </c>
      <c r="X4" s="7">
        <f>Q4+T4+W4</f>
        <v>0</v>
      </c>
    </row>
    <row r="5" spans="1:24">
      <c r="A5" s="6" t="s">
        <v>27</v>
      </c>
      <c r="B5" s="6">
        <v>110</v>
      </c>
      <c r="C5" s="6">
        <v>40</v>
      </c>
      <c r="D5" s="6">
        <v>15</v>
      </c>
      <c r="E5" s="6">
        <v>9</v>
      </c>
      <c r="F5" s="6">
        <v>9</v>
      </c>
      <c r="G5" s="6">
        <v>9</v>
      </c>
      <c r="H5" s="6">
        <v>9</v>
      </c>
      <c r="I5" s="6">
        <v>9</v>
      </c>
      <c r="J5" s="6">
        <v>9</v>
      </c>
      <c r="K5" s="6">
        <v>9</v>
      </c>
      <c r="L5" s="6">
        <v>9</v>
      </c>
      <c r="M5" s="6">
        <v>9</v>
      </c>
      <c r="N5" s="6">
        <v>9</v>
      </c>
      <c r="O5" s="7">
        <f>((E5+J5)/70)*((F5+K5)/70)*((G5+L5)/70)*((H5+M5)/70)*((I5+N5)/70)</f>
        <v>0</v>
      </c>
      <c r="P5" s="7">
        <f>(E5/70)*(F5/70)*(G5/70)*(H5/70)*(I5/70)</f>
        <v>0</v>
      </c>
      <c r="Q5" s="7">
        <f>(P5*B5) + ((O5-P5)*B5*2)</f>
        <v>0</v>
      </c>
      <c r="R5" s="7">
        <f>((E5+J5)/70)*((F5+K5)/70)*((G5+L5)/70)*((H5+M5)/70)*(1-((I5+N5)/70))</f>
        <v>0</v>
      </c>
      <c r="S5" s="7">
        <f>(E5/70)*(F5/70)*(G5/70)*(H5/70)*(1-(I5/70))</f>
        <v>0</v>
      </c>
      <c r="T5" s="7">
        <f>(S5*C5) + ((R5-S5)*C5*2)</f>
        <v>0</v>
      </c>
      <c r="U5" s="7">
        <f>((E5+J5)/70)*((F5+K5)/70)*((G5+L5)/70)*(1-((H5+M5)/70))</f>
        <v>0</v>
      </c>
      <c r="V5" s="7">
        <f>(E5/70)*(F5/70)*(G5/70)*(1-(H5/70))</f>
        <v>0</v>
      </c>
      <c r="W5" s="7">
        <f>(V5*D5) + ((U5-V5)*D5*2)</f>
        <v>0</v>
      </c>
      <c r="X5" s="7">
        <f>Q5+T5+W5</f>
        <v>0</v>
      </c>
    </row>
    <row r="6" spans="1:24">
      <c r="A6" s="6" t="s">
        <v>28</v>
      </c>
      <c r="B6" s="6">
        <v>230</v>
      </c>
      <c r="C6" s="6">
        <v>55</v>
      </c>
      <c r="D6" s="6">
        <v>20</v>
      </c>
      <c r="E6" s="6">
        <v>9</v>
      </c>
      <c r="F6" s="6">
        <v>9</v>
      </c>
      <c r="G6" s="6">
        <v>9</v>
      </c>
      <c r="H6" s="6">
        <v>9</v>
      </c>
      <c r="I6" s="6">
        <v>9</v>
      </c>
      <c r="J6" s="6">
        <v>9</v>
      </c>
      <c r="K6" s="6">
        <v>9</v>
      </c>
      <c r="L6" s="6">
        <v>9</v>
      </c>
      <c r="M6" s="6">
        <v>9</v>
      </c>
      <c r="N6" s="6">
        <v>9</v>
      </c>
      <c r="O6" s="7">
        <f>((E6+J6)/70)*((F6+K6)/70)*((G6+L6)/70)*((H6+M6)/70)*((I6+N6)/70)</f>
        <v>0</v>
      </c>
      <c r="P6" s="7">
        <f>(E6/70)*(F6/70)*(G6/70)*(H6/70)*(I6/70)</f>
        <v>0</v>
      </c>
      <c r="Q6" s="7">
        <f>(P6*B6) + ((O6-P6)*B6*2)</f>
        <v>0</v>
      </c>
      <c r="R6" s="7">
        <f>((E6+J6)/70)*((F6+K6)/70)*((G6+L6)/70)*((H6+M6)/70)*(1-((I6+N6)/70))</f>
        <v>0</v>
      </c>
      <c r="S6" s="7">
        <f>(E6/70)*(F6/70)*(G6/70)*(H6/70)*(1-(I6/70))</f>
        <v>0</v>
      </c>
      <c r="T6" s="7">
        <f>(S6*C6) + ((R6-S6)*C6*2)</f>
        <v>0</v>
      </c>
      <c r="U6" s="7">
        <f>((E6+J6)/70)*((F6+K6)/70)*((G6+L6)/70)*(1-((H6+M6)/70))</f>
        <v>0</v>
      </c>
      <c r="V6" s="7">
        <f>(E6/70)*(F6/70)*(G6/70)*(1-(H6/70))</f>
        <v>0</v>
      </c>
      <c r="W6" s="7">
        <f>(V6*D6) + ((U6-V6)*D6*2)</f>
        <v>0</v>
      </c>
      <c r="X6" s="7">
        <f>Q6+T6+W6</f>
        <v>0</v>
      </c>
    </row>
    <row r="7" spans="1:24">
      <c r="A7" s="6" t="s">
        <v>30</v>
      </c>
      <c r="B7" s="6">
        <v>560</v>
      </c>
      <c r="C7" s="6">
        <v>95</v>
      </c>
      <c r="D7" s="6">
        <v>32</v>
      </c>
      <c r="E7" s="6">
        <v>8</v>
      </c>
      <c r="F7" s="6">
        <v>8</v>
      </c>
      <c r="G7" s="6">
        <v>8</v>
      </c>
      <c r="H7" s="6">
        <v>8</v>
      </c>
      <c r="I7" s="6">
        <v>8</v>
      </c>
      <c r="J7" s="6">
        <v>9</v>
      </c>
      <c r="K7" s="6">
        <v>9</v>
      </c>
      <c r="L7" s="6">
        <v>9</v>
      </c>
      <c r="M7" s="6">
        <v>9</v>
      </c>
      <c r="N7" s="6">
        <v>9</v>
      </c>
      <c r="O7" s="7">
        <f>((E7+J7)/70)*((F7+K7)/70)*((G7+L7)/70)*((H7+M7)/70)*((I7+N7)/70)</f>
        <v>0</v>
      </c>
      <c r="P7" s="7">
        <f>(E7/70)*(F7/70)*(G7/70)*(H7/70)*(I7/70)</f>
        <v>0</v>
      </c>
      <c r="Q7" s="7">
        <f>(P7*B7) + ((O7-P7)*B7*2)</f>
        <v>0</v>
      </c>
      <c r="R7" s="7">
        <f>((E7+J7)/70)*((F7+K7)/70)*((G7+L7)/70)*((H7+M7)/70)*(1-((I7+N7)/70))</f>
        <v>0</v>
      </c>
      <c r="S7" s="7">
        <f>(E7/70)*(F7/70)*(G7/70)*(H7/70)*(1-(I7/70))</f>
        <v>0</v>
      </c>
      <c r="T7" s="7">
        <f>(S7*C7) + ((R7-S7)*C7*2)</f>
        <v>0</v>
      </c>
      <c r="U7" s="7">
        <f>((E7+J7)/70)*((F7+K7)/70)*((G7+L7)/70)*(1-((H7+M7)/70))</f>
        <v>0</v>
      </c>
      <c r="V7" s="7">
        <f>(E7/70)*(F7/70)*(G7/70)*(1-(H7/70))</f>
        <v>0</v>
      </c>
      <c r="W7" s="7">
        <f>(V7*D7) + ((U7-V7)*D7*2)</f>
        <v>0</v>
      </c>
      <c r="X7" s="7">
        <f>Q7+T7+W7</f>
        <v>0</v>
      </c>
    </row>
    <row r="8" spans="1:24">
      <c r="A8" s="6" t="s">
        <v>31</v>
      </c>
      <c r="B8" s="6">
        <v>1600</v>
      </c>
      <c r="C8" s="6">
        <v>200</v>
      </c>
      <c r="D8" s="6">
        <v>50</v>
      </c>
      <c r="E8" s="6">
        <v>6</v>
      </c>
      <c r="F8" s="6">
        <v>6</v>
      </c>
      <c r="G8" s="6">
        <v>6</v>
      </c>
      <c r="H8" s="6">
        <v>6</v>
      </c>
      <c r="I8" s="6">
        <v>6</v>
      </c>
      <c r="J8" s="6">
        <v>9</v>
      </c>
      <c r="K8" s="6">
        <v>9</v>
      </c>
      <c r="L8" s="6">
        <v>9</v>
      </c>
      <c r="M8" s="6">
        <v>9</v>
      </c>
      <c r="N8" s="6">
        <v>9</v>
      </c>
      <c r="O8" s="7">
        <f>((E8+J8)/70)*((F8+K8)/70)*((G8+L8)/70)*((H8+M8)/70)*((I8+N8)/70)</f>
        <v>0</v>
      </c>
      <c r="P8" s="7">
        <f>(E8/70)*(F8/70)*(G8/70)*(H8/70)*(I8/70)</f>
        <v>0</v>
      </c>
      <c r="Q8" s="7">
        <f>(P8*B8) + ((O8-P8)*B8*2)</f>
        <v>0</v>
      </c>
      <c r="R8" s="7">
        <f>((E8+J8)/70)*((F8+K8)/70)*((G8+L8)/70)*((H8+M8)/70)*(1-((I8+N8)/70))</f>
        <v>0</v>
      </c>
      <c r="S8" s="7">
        <f>(E8/70)*(F8/70)*(G8/70)*(H8/70)*(1-(I8/70))</f>
        <v>0</v>
      </c>
      <c r="T8" s="7">
        <f>(S8*C8) + ((R8-S8)*C8*2)</f>
        <v>0</v>
      </c>
      <c r="U8" s="7">
        <f>((E8+J8)/70)*((F8+K8)/70)*((G8+L8)/70)*(1-((H8+M8)/70))</f>
        <v>0</v>
      </c>
      <c r="V8" s="7">
        <f>(E8/70)*(F8/70)*(G8/70)*(1-(H8/70))</f>
        <v>0</v>
      </c>
      <c r="W8" s="7">
        <f>(V8*D8) + ((U8-V8)*D8*2)</f>
        <v>0</v>
      </c>
      <c r="X8" s="7">
        <f>Q8+T8+W8</f>
        <v>0</v>
      </c>
    </row>
    <row r="9" spans="1:24">
      <c r="A9" s="6" t="s">
        <v>33</v>
      </c>
      <c r="B9" s="6">
        <v>560</v>
      </c>
      <c r="J9" s="6">
        <v>9</v>
      </c>
      <c r="K9" s="6">
        <v>9</v>
      </c>
      <c r="L9" s="6">
        <v>9</v>
      </c>
      <c r="M9" s="6">
        <v>9</v>
      </c>
      <c r="N9" s="6">
        <v>9</v>
      </c>
      <c r="O9" s="7">
        <f>(J9/70)*(K9/70)*(L9/70)*(M9/70)*(N9/70)</f>
        <v>0</v>
      </c>
      <c r="X9" s="7">
        <f>O9*B9*2</f>
        <v>0</v>
      </c>
    </row>
    <row r="10" spans="1:24">
      <c r="W10" s="5" t="s">
        <v>32</v>
      </c>
      <c r="X10" s="7">
        <f>SUM(X2,X3,X4,X5,X6,X7,X8,X9)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0"/>
  <sheetViews>
    <sheetView workbookViewId="0"/>
  </sheetViews>
  <sheetFormatPr defaultRowHeight="15"/>
  <sheetData>
    <row r="1" spans="1:2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>
      <c r="A2" s="6" t="s">
        <v>24</v>
      </c>
      <c r="B2" s="6">
        <v>70</v>
      </c>
      <c r="C2" s="6">
        <v>25</v>
      </c>
      <c r="D2" s="6">
        <v>10</v>
      </c>
      <c r="E2" s="6">
        <v>9</v>
      </c>
      <c r="F2" s="6">
        <v>9</v>
      </c>
      <c r="G2" s="6">
        <v>9</v>
      </c>
      <c r="H2" s="6">
        <v>9</v>
      </c>
      <c r="I2" s="6">
        <v>9</v>
      </c>
      <c r="J2" s="6">
        <v>8</v>
      </c>
      <c r="K2" s="6">
        <v>8</v>
      </c>
      <c r="L2" s="6">
        <v>8</v>
      </c>
      <c r="M2" s="6">
        <v>8</v>
      </c>
      <c r="N2" s="6">
        <v>8</v>
      </c>
      <c r="O2" s="7">
        <f>((E2+J2)/70)*((F2+K2)/70)*((G2+L2)/70)*((H2+M2)/70)*((I2+N2)/70)</f>
        <v>0</v>
      </c>
      <c r="P2" s="7">
        <f>(E2/70)*(F2/70)*(G2/70)*(H2/70)*(I2/70)</f>
        <v>0</v>
      </c>
      <c r="Q2" s="7">
        <f>(P2*B2) + ((O2-P2)*B2*2)</f>
        <v>0</v>
      </c>
      <c r="R2" s="7">
        <f>((E2+J2)/70)*((F2+K2)/70)*((G2+L2)/70)*((H2+M2)/70)*(1-((I2+N2)/70))</f>
        <v>0</v>
      </c>
      <c r="S2" s="7">
        <f>(E2/70)*(F2/70)*(G2/70)*(H2/70)*(1-(I2/70))</f>
        <v>0</v>
      </c>
      <c r="T2" s="7">
        <f>(S2*C2) + ((R2-S2)*C2*2)</f>
        <v>0</v>
      </c>
      <c r="U2" s="7">
        <f>((E2+J2)/70)*((F2+K2)/70)*((G2+L2)/70)*(1-((H2+M2)/70))</f>
        <v>0</v>
      </c>
      <c r="V2" s="7">
        <f>(E2/70)*(F2/70)*(G2/70)*(1-(H2/70))</f>
        <v>0</v>
      </c>
      <c r="W2" s="7">
        <f>(V2*D2) + ((U2-V2)*D2*2)</f>
        <v>0</v>
      </c>
      <c r="X2" s="7">
        <f>Q2+T2+W2</f>
        <v>0</v>
      </c>
    </row>
    <row r="3" spans="1:24">
      <c r="A3" s="6" t="s">
        <v>25</v>
      </c>
      <c r="B3" s="6">
        <v>70</v>
      </c>
      <c r="C3" s="6">
        <v>25</v>
      </c>
      <c r="D3" s="6">
        <v>10</v>
      </c>
      <c r="E3" s="6">
        <v>9</v>
      </c>
      <c r="F3" s="6">
        <v>9</v>
      </c>
      <c r="G3" s="6">
        <v>9</v>
      </c>
      <c r="H3" s="6">
        <v>9</v>
      </c>
      <c r="I3" s="6">
        <v>9</v>
      </c>
      <c r="J3" s="6">
        <v>8</v>
      </c>
      <c r="K3" s="6">
        <v>8</v>
      </c>
      <c r="L3" s="6">
        <v>8</v>
      </c>
      <c r="M3" s="6">
        <v>8</v>
      </c>
      <c r="N3" s="6">
        <v>8</v>
      </c>
      <c r="O3" s="7">
        <f>((E3+J3)/70)*((F3+K3)/70)*((G3+L3)/70)*((H3+M3)/70)*((I3+N3)/70)</f>
        <v>0</v>
      </c>
      <c r="P3" s="7">
        <f>(E3/70)*(F3/70)*(G3/70)*(H3/70)*(I3/70)</f>
        <v>0</v>
      </c>
      <c r="Q3" s="7">
        <f>(P3*B3) + ((O3-P3)*B3*2)</f>
        <v>0</v>
      </c>
      <c r="R3" s="7">
        <f>((E3+J3)/70)*((F3+K3)/70)*((G3+L3)/70)*((H3+M3)/70)*(1-((I3+N3)/70))</f>
        <v>0</v>
      </c>
      <c r="S3" s="7">
        <f>(E3/70)*(F3/70)*(G3/70)*(H3/70)*(1-(I3/70))</f>
        <v>0</v>
      </c>
      <c r="T3" s="7">
        <f>(S3*C3) + ((R3-S3)*C3*2)</f>
        <v>0</v>
      </c>
      <c r="U3" s="7">
        <f>((E3+J3)/70)*((F3+K3)/70)*((G3+L3)/70)*(1-((H3+M3)/70))</f>
        <v>0</v>
      </c>
      <c r="V3" s="7">
        <f>(E3/70)*(F3/70)*(G3/70)*(1-(H3/70))</f>
        <v>0</v>
      </c>
      <c r="W3" s="7">
        <f>(V3*D3) + ((U3-V3)*D3*2)</f>
        <v>0</v>
      </c>
      <c r="X3" s="7">
        <f>Q3+T3+W3</f>
        <v>0</v>
      </c>
    </row>
    <row r="4" spans="1:24">
      <c r="A4" s="6" t="s">
        <v>26</v>
      </c>
      <c r="B4" s="6">
        <v>110</v>
      </c>
      <c r="C4" s="6">
        <v>40</v>
      </c>
      <c r="D4" s="6">
        <v>15</v>
      </c>
      <c r="E4" s="6">
        <v>9</v>
      </c>
      <c r="F4" s="6">
        <v>9</v>
      </c>
      <c r="G4" s="6">
        <v>9</v>
      </c>
      <c r="H4" s="6">
        <v>9</v>
      </c>
      <c r="I4" s="6">
        <v>9</v>
      </c>
      <c r="J4" s="6">
        <v>8</v>
      </c>
      <c r="K4" s="6">
        <v>8</v>
      </c>
      <c r="L4" s="6">
        <v>8</v>
      </c>
      <c r="M4" s="6">
        <v>8</v>
      </c>
      <c r="N4" s="6">
        <v>8</v>
      </c>
      <c r="O4" s="7">
        <f>((E4+J4)/70)*((F4+K4)/70)*((G4+L4)/70)*((H4+M4)/70)*((I4+N4)/70)</f>
        <v>0</v>
      </c>
      <c r="P4" s="7">
        <f>(E4/70)*(F4/70)*(G4/70)*(H4/70)*(I4/70)</f>
        <v>0</v>
      </c>
      <c r="Q4" s="7">
        <f>(P4*B4) + ((O4-P4)*B4*2)</f>
        <v>0</v>
      </c>
      <c r="R4" s="7">
        <f>((E4+J4)/70)*((F4+K4)/70)*((G4+L4)/70)*((H4+M4)/70)*(1-((I4+N4)/70))</f>
        <v>0</v>
      </c>
      <c r="S4" s="7">
        <f>(E4/70)*(F4/70)*(G4/70)*(H4/70)*(1-(I4/70))</f>
        <v>0</v>
      </c>
      <c r="T4" s="7">
        <f>(S4*C4) + ((R4-S4)*C4*2)</f>
        <v>0</v>
      </c>
      <c r="U4" s="7">
        <f>((E4+J4)/70)*((F4+K4)/70)*((G4+L4)/70)*(1-((H4+M4)/70))</f>
        <v>0</v>
      </c>
      <c r="V4" s="7">
        <f>(E4/70)*(F4/70)*(G4/70)*(1-(H4/70))</f>
        <v>0</v>
      </c>
      <c r="W4" s="7">
        <f>(V4*D4) + ((U4-V4)*D4*2)</f>
        <v>0</v>
      </c>
      <c r="X4" s="7">
        <f>Q4+T4+W4</f>
        <v>0</v>
      </c>
    </row>
    <row r="5" spans="1:24">
      <c r="A5" s="6" t="s">
        <v>27</v>
      </c>
      <c r="B5" s="6">
        <v>110</v>
      </c>
      <c r="C5" s="6">
        <v>40</v>
      </c>
      <c r="D5" s="6">
        <v>15</v>
      </c>
      <c r="E5" s="6">
        <v>9</v>
      </c>
      <c r="F5" s="6">
        <v>9</v>
      </c>
      <c r="G5" s="6">
        <v>9</v>
      </c>
      <c r="H5" s="6">
        <v>9</v>
      </c>
      <c r="I5" s="6">
        <v>9</v>
      </c>
      <c r="J5" s="6">
        <v>8</v>
      </c>
      <c r="K5" s="6">
        <v>8</v>
      </c>
      <c r="L5" s="6">
        <v>8</v>
      </c>
      <c r="M5" s="6">
        <v>8</v>
      </c>
      <c r="N5" s="6">
        <v>8</v>
      </c>
      <c r="O5" s="7">
        <f>((E5+J5)/70)*((F5+K5)/70)*((G5+L5)/70)*((H5+M5)/70)*((I5+N5)/70)</f>
        <v>0</v>
      </c>
      <c r="P5" s="7">
        <f>(E5/70)*(F5/70)*(G5/70)*(H5/70)*(I5/70)</f>
        <v>0</v>
      </c>
      <c r="Q5" s="7">
        <f>(P5*B5) + ((O5-P5)*B5*2)</f>
        <v>0</v>
      </c>
      <c r="R5" s="7">
        <f>((E5+J5)/70)*((F5+K5)/70)*((G5+L5)/70)*((H5+M5)/70)*(1-((I5+N5)/70))</f>
        <v>0</v>
      </c>
      <c r="S5" s="7">
        <f>(E5/70)*(F5/70)*(G5/70)*(H5/70)*(1-(I5/70))</f>
        <v>0</v>
      </c>
      <c r="T5" s="7">
        <f>(S5*C5) + ((R5-S5)*C5*2)</f>
        <v>0</v>
      </c>
      <c r="U5" s="7">
        <f>((E5+J5)/70)*((F5+K5)/70)*((G5+L5)/70)*(1-((H5+M5)/70))</f>
        <v>0</v>
      </c>
      <c r="V5" s="7">
        <f>(E5/70)*(F5/70)*(G5/70)*(1-(H5/70))</f>
        <v>0</v>
      </c>
      <c r="W5" s="7">
        <f>(V5*D5) + ((U5-V5)*D5*2)</f>
        <v>0</v>
      </c>
      <c r="X5" s="7">
        <f>Q5+T5+W5</f>
        <v>0</v>
      </c>
    </row>
    <row r="6" spans="1:24">
      <c r="A6" s="6" t="s">
        <v>28</v>
      </c>
      <c r="B6" s="6">
        <v>230</v>
      </c>
      <c r="C6" s="6">
        <v>55</v>
      </c>
      <c r="D6" s="6">
        <v>20</v>
      </c>
      <c r="E6" s="6">
        <v>9</v>
      </c>
      <c r="F6" s="6">
        <v>9</v>
      </c>
      <c r="G6" s="6">
        <v>9</v>
      </c>
      <c r="H6" s="6">
        <v>9</v>
      </c>
      <c r="I6" s="6">
        <v>9</v>
      </c>
      <c r="J6" s="6">
        <v>8</v>
      </c>
      <c r="K6" s="6">
        <v>8</v>
      </c>
      <c r="L6" s="6">
        <v>8</v>
      </c>
      <c r="M6" s="6">
        <v>8</v>
      </c>
      <c r="N6" s="6">
        <v>8</v>
      </c>
      <c r="O6" s="7">
        <f>((E6+J6)/70)*((F6+K6)/70)*((G6+L6)/70)*((H6+M6)/70)*((I6+N6)/70)</f>
        <v>0</v>
      </c>
      <c r="P6" s="7">
        <f>(E6/70)*(F6/70)*(G6/70)*(H6/70)*(I6/70)</f>
        <v>0</v>
      </c>
      <c r="Q6" s="7">
        <f>(P6*B6) + ((O6-P6)*B6*2)</f>
        <v>0</v>
      </c>
      <c r="R6" s="7">
        <f>((E6+J6)/70)*((F6+K6)/70)*((G6+L6)/70)*((H6+M6)/70)*(1-((I6+N6)/70))</f>
        <v>0</v>
      </c>
      <c r="S6" s="7">
        <f>(E6/70)*(F6/70)*(G6/70)*(H6/70)*(1-(I6/70))</f>
        <v>0</v>
      </c>
      <c r="T6" s="7">
        <f>(S6*C6) + ((R6-S6)*C6*2)</f>
        <v>0</v>
      </c>
      <c r="U6" s="7">
        <f>((E6+J6)/70)*((F6+K6)/70)*((G6+L6)/70)*(1-((H6+M6)/70))</f>
        <v>0</v>
      </c>
      <c r="V6" s="7">
        <f>(E6/70)*(F6/70)*(G6/70)*(1-(H6/70))</f>
        <v>0</v>
      </c>
      <c r="W6" s="7">
        <f>(V6*D6) + ((U6-V6)*D6*2)</f>
        <v>0</v>
      </c>
      <c r="X6" s="7">
        <f>Q6+T6+W6</f>
        <v>0</v>
      </c>
    </row>
    <row r="7" spans="1:24">
      <c r="A7" s="6" t="s">
        <v>29</v>
      </c>
      <c r="B7" s="6">
        <v>560</v>
      </c>
      <c r="C7" s="6">
        <v>95</v>
      </c>
      <c r="D7" s="6">
        <v>32</v>
      </c>
      <c r="E7" s="6">
        <v>9</v>
      </c>
      <c r="F7" s="6">
        <v>9</v>
      </c>
      <c r="G7" s="6">
        <v>9</v>
      </c>
      <c r="H7" s="6">
        <v>9</v>
      </c>
      <c r="I7" s="6">
        <v>9</v>
      </c>
      <c r="J7" s="6">
        <v>8</v>
      </c>
      <c r="K7" s="6">
        <v>8</v>
      </c>
      <c r="L7" s="6">
        <v>8</v>
      </c>
      <c r="M7" s="6">
        <v>8</v>
      </c>
      <c r="N7" s="6">
        <v>8</v>
      </c>
      <c r="O7" s="7">
        <f>((E7+J7)/70)*((F7+K7)/70)*((G7+L7)/70)*((H7+M7)/70)*((I7+N7)/70)</f>
        <v>0</v>
      </c>
      <c r="P7" s="7">
        <f>(E7/70)*(F7/70)*(G7/70)*(H7/70)*(I7/70)</f>
        <v>0</v>
      </c>
      <c r="Q7" s="7">
        <f>(P7*B7) + ((O7-P7)*B7*2)</f>
        <v>0</v>
      </c>
      <c r="R7" s="7">
        <f>((E7+J7)/70)*((F7+K7)/70)*((G7+L7)/70)*((H7+M7)/70)*(1-((I7+N7)/70))</f>
        <v>0</v>
      </c>
      <c r="S7" s="7">
        <f>(E7/70)*(F7/70)*(G7/70)*(H7/70)*(1-(I7/70))</f>
        <v>0</v>
      </c>
      <c r="T7" s="7">
        <f>(S7*C7) + ((R7-S7)*C7*2)</f>
        <v>0</v>
      </c>
      <c r="U7" s="7">
        <f>((E7+J7)/70)*((F7+K7)/70)*((G7+L7)/70)*(1-((H7+M7)/70))</f>
        <v>0</v>
      </c>
      <c r="V7" s="7">
        <f>(E7/70)*(F7/70)*(G7/70)*(1-(H7/70))</f>
        <v>0</v>
      </c>
      <c r="W7" s="7">
        <f>(V7*D7) + ((U7-V7)*D7*2)</f>
        <v>0</v>
      </c>
      <c r="X7" s="7">
        <f>Q7+T7+W7</f>
        <v>0</v>
      </c>
    </row>
    <row r="8" spans="1:24">
      <c r="A8" s="6" t="s">
        <v>31</v>
      </c>
      <c r="B8" s="6">
        <v>1600</v>
      </c>
      <c r="C8" s="6">
        <v>200</v>
      </c>
      <c r="D8" s="6">
        <v>50</v>
      </c>
      <c r="E8" s="6">
        <v>6</v>
      </c>
      <c r="F8" s="6">
        <v>6</v>
      </c>
      <c r="G8" s="6">
        <v>6</v>
      </c>
      <c r="H8" s="6">
        <v>6</v>
      </c>
      <c r="I8" s="6">
        <v>6</v>
      </c>
      <c r="J8" s="6">
        <v>8</v>
      </c>
      <c r="K8" s="6">
        <v>8</v>
      </c>
      <c r="L8" s="6">
        <v>8</v>
      </c>
      <c r="M8" s="6">
        <v>8</v>
      </c>
      <c r="N8" s="6">
        <v>8</v>
      </c>
      <c r="O8" s="7">
        <f>((E8+J8)/70)*((F8+K8)/70)*((G8+L8)/70)*((H8+M8)/70)*((I8+N8)/70)</f>
        <v>0</v>
      </c>
      <c r="P8" s="7">
        <f>(E8/70)*(F8/70)*(G8/70)*(H8/70)*(I8/70)</f>
        <v>0</v>
      </c>
      <c r="Q8" s="7">
        <f>(P8*B8) + ((O8-P8)*B8*2)</f>
        <v>0</v>
      </c>
      <c r="R8" s="7">
        <f>((E8+J8)/70)*((F8+K8)/70)*((G8+L8)/70)*((H8+M8)/70)*(1-((I8+N8)/70))</f>
        <v>0</v>
      </c>
      <c r="S8" s="7">
        <f>(E8/70)*(F8/70)*(G8/70)*(H8/70)*(1-(I8/70))</f>
        <v>0</v>
      </c>
      <c r="T8" s="7">
        <f>(S8*C8) + ((R8-S8)*C8*2)</f>
        <v>0</v>
      </c>
      <c r="U8" s="7">
        <f>((E8+J8)/70)*((F8+K8)/70)*((G8+L8)/70)*(1-((H8+M8)/70))</f>
        <v>0</v>
      </c>
      <c r="V8" s="7">
        <f>(E8/70)*(F8/70)*(G8/70)*(1-(H8/70))</f>
        <v>0</v>
      </c>
      <c r="W8" s="7">
        <f>(V8*D8) + ((U8-V8)*D8*2)</f>
        <v>0</v>
      </c>
      <c r="X8" s="7">
        <f>Q8+T8+W8</f>
        <v>0</v>
      </c>
    </row>
    <row r="9" spans="1:24">
      <c r="A9" s="6" t="s">
        <v>33</v>
      </c>
      <c r="B9" s="6">
        <v>560</v>
      </c>
      <c r="J9" s="6">
        <v>8</v>
      </c>
      <c r="K9" s="6">
        <v>8</v>
      </c>
      <c r="L9" s="6">
        <v>8</v>
      </c>
      <c r="M9" s="6">
        <v>8</v>
      </c>
      <c r="N9" s="6">
        <v>8</v>
      </c>
      <c r="O9" s="7">
        <f>(J9/70)*(K9/70)*(L9/70)*(M9/70)*(N9/70)</f>
        <v>0</v>
      </c>
      <c r="X9" s="7">
        <f>O9*B9*2</f>
        <v>0</v>
      </c>
    </row>
    <row r="10" spans="1:24">
      <c r="W10" s="5" t="s">
        <v>32</v>
      </c>
      <c r="X10" s="7">
        <f>SUM(X2,X3,X4,X5,X6,X7,X8,X9)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10"/>
  <sheetViews>
    <sheetView workbookViewId="0"/>
  </sheetViews>
  <sheetFormatPr defaultRowHeight="15"/>
  <sheetData>
    <row r="1" spans="1:2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>
      <c r="A2" s="6" t="s">
        <v>24</v>
      </c>
      <c r="B2" s="6">
        <v>70</v>
      </c>
      <c r="C2" s="6">
        <v>25</v>
      </c>
      <c r="D2" s="6">
        <v>10</v>
      </c>
      <c r="E2" s="6">
        <v>9</v>
      </c>
      <c r="F2" s="6">
        <v>9</v>
      </c>
      <c r="G2" s="6">
        <v>9</v>
      </c>
      <c r="H2" s="6">
        <v>9</v>
      </c>
      <c r="I2" s="6">
        <v>9</v>
      </c>
      <c r="J2" s="6">
        <v>6</v>
      </c>
      <c r="K2" s="6">
        <v>6</v>
      </c>
      <c r="L2" s="6">
        <v>6</v>
      </c>
      <c r="M2" s="6">
        <v>6</v>
      </c>
      <c r="N2" s="6">
        <v>6</v>
      </c>
      <c r="O2" s="7">
        <f>((E2+J2)/70)*((F2+K2)/70)*((G2+L2)/70)*((H2+M2)/70)*((I2+N2)/70)</f>
        <v>0</v>
      </c>
      <c r="P2" s="7">
        <f>(E2/70)*(F2/70)*(G2/70)*(H2/70)*(I2/70)</f>
        <v>0</v>
      </c>
      <c r="Q2" s="7">
        <f>(P2*B2) + ((O2-P2)*B2*3)</f>
        <v>0</v>
      </c>
      <c r="R2" s="7">
        <f>((E2+J2)/70)*((F2+K2)/70)*((G2+L2)/70)*((H2+M2)/70)*(1-((I2+N2)/70))</f>
        <v>0</v>
      </c>
      <c r="S2" s="7">
        <f>(E2/70)*(F2/70)*(G2/70)*(H2/70)*(1-(I2/70))</f>
        <v>0</v>
      </c>
      <c r="T2" s="7">
        <f>(S2*C2) + ((R2-S2)*C2*3)</f>
        <v>0</v>
      </c>
      <c r="U2" s="7">
        <f>((E2+J2)/70)*((F2+K2)/70)*((G2+L2)/70)*(1-((H2+M2)/70))</f>
        <v>0</v>
      </c>
      <c r="V2" s="7">
        <f>(E2/70)*(F2/70)*(G2/70)*(1-(H2/70))</f>
        <v>0</v>
      </c>
      <c r="W2" s="7">
        <f>(V2*D2) + ((U2-V2)*D2*3)</f>
        <v>0</v>
      </c>
      <c r="X2" s="7">
        <f>Q2+T2+W2</f>
        <v>0</v>
      </c>
    </row>
    <row r="3" spans="1:24">
      <c r="A3" s="6" t="s">
        <v>25</v>
      </c>
      <c r="B3" s="6">
        <v>70</v>
      </c>
      <c r="C3" s="6">
        <v>25</v>
      </c>
      <c r="D3" s="6">
        <v>10</v>
      </c>
      <c r="E3" s="6">
        <v>9</v>
      </c>
      <c r="F3" s="6">
        <v>9</v>
      </c>
      <c r="G3" s="6">
        <v>9</v>
      </c>
      <c r="H3" s="6">
        <v>9</v>
      </c>
      <c r="I3" s="6">
        <v>9</v>
      </c>
      <c r="J3" s="6">
        <v>6</v>
      </c>
      <c r="K3" s="6">
        <v>6</v>
      </c>
      <c r="L3" s="6">
        <v>6</v>
      </c>
      <c r="M3" s="6">
        <v>6</v>
      </c>
      <c r="N3" s="6">
        <v>6</v>
      </c>
      <c r="O3" s="7">
        <f>((E3+J3)/70)*((F3+K3)/70)*((G3+L3)/70)*((H3+M3)/70)*((I3+N3)/70)</f>
        <v>0</v>
      </c>
      <c r="P3" s="7">
        <f>(E3/70)*(F3/70)*(G3/70)*(H3/70)*(I3/70)</f>
        <v>0</v>
      </c>
      <c r="Q3" s="7">
        <f>(P3*B3) + ((O3-P3)*B3*3)</f>
        <v>0</v>
      </c>
      <c r="R3" s="7">
        <f>((E3+J3)/70)*((F3+K3)/70)*((G3+L3)/70)*((H3+M3)/70)*(1-((I3+N3)/70))</f>
        <v>0</v>
      </c>
      <c r="S3" s="7">
        <f>(E3/70)*(F3/70)*(G3/70)*(H3/70)*(1-(I3/70))</f>
        <v>0</v>
      </c>
      <c r="T3" s="7">
        <f>(S3*C3) + ((R3-S3)*C3*3)</f>
        <v>0</v>
      </c>
      <c r="U3" s="7">
        <f>((E3+J3)/70)*((F3+K3)/70)*((G3+L3)/70)*(1-((H3+M3)/70))</f>
        <v>0</v>
      </c>
      <c r="V3" s="7">
        <f>(E3/70)*(F3/70)*(G3/70)*(1-(H3/70))</f>
        <v>0</v>
      </c>
      <c r="W3" s="7">
        <f>(V3*D3) + ((U3-V3)*D3*3)</f>
        <v>0</v>
      </c>
      <c r="X3" s="7">
        <f>Q3+T3+W3</f>
        <v>0</v>
      </c>
    </row>
    <row r="4" spans="1:24">
      <c r="A4" s="6" t="s">
        <v>26</v>
      </c>
      <c r="B4" s="6">
        <v>110</v>
      </c>
      <c r="C4" s="6">
        <v>40</v>
      </c>
      <c r="D4" s="6">
        <v>15</v>
      </c>
      <c r="E4" s="6">
        <v>9</v>
      </c>
      <c r="F4" s="6">
        <v>9</v>
      </c>
      <c r="G4" s="6">
        <v>9</v>
      </c>
      <c r="H4" s="6">
        <v>9</v>
      </c>
      <c r="I4" s="6">
        <v>9</v>
      </c>
      <c r="J4" s="6">
        <v>6</v>
      </c>
      <c r="K4" s="6">
        <v>6</v>
      </c>
      <c r="L4" s="6">
        <v>6</v>
      </c>
      <c r="M4" s="6">
        <v>6</v>
      </c>
      <c r="N4" s="6">
        <v>6</v>
      </c>
      <c r="O4" s="7">
        <f>((E4+J4)/70)*((F4+K4)/70)*((G4+L4)/70)*((H4+M4)/70)*((I4+N4)/70)</f>
        <v>0</v>
      </c>
      <c r="P4" s="7">
        <f>(E4/70)*(F4/70)*(G4/70)*(H4/70)*(I4/70)</f>
        <v>0</v>
      </c>
      <c r="Q4" s="7">
        <f>(P4*B4) + ((O4-P4)*B4*3)</f>
        <v>0</v>
      </c>
      <c r="R4" s="7">
        <f>((E4+J4)/70)*((F4+K4)/70)*((G4+L4)/70)*((H4+M4)/70)*(1-((I4+N4)/70))</f>
        <v>0</v>
      </c>
      <c r="S4" s="7">
        <f>(E4/70)*(F4/70)*(G4/70)*(H4/70)*(1-(I4/70))</f>
        <v>0</v>
      </c>
      <c r="T4" s="7">
        <f>(S4*C4) + ((R4-S4)*C4*3)</f>
        <v>0</v>
      </c>
      <c r="U4" s="7">
        <f>((E4+J4)/70)*((F4+K4)/70)*((G4+L4)/70)*(1-((H4+M4)/70))</f>
        <v>0</v>
      </c>
      <c r="V4" s="7">
        <f>(E4/70)*(F4/70)*(G4/70)*(1-(H4/70))</f>
        <v>0</v>
      </c>
      <c r="W4" s="7">
        <f>(V4*D4) + ((U4-V4)*D4*3)</f>
        <v>0</v>
      </c>
      <c r="X4" s="7">
        <f>Q4+T4+W4</f>
        <v>0</v>
      </c>
    </row>
    <row r="5" spans="1:24">
      <c r="A5" s="6" t="s">
        <v>27</v>
      </c>
      <c r="B5" s="6">
        <v>110</v>
      </c>
      <c r="C5" s="6">
        <v>40</v>
      </c>
      <c r="D5" s="6">
        <v>15</v>
      </c>
      <c r="E5" s="6">
        <v>9</v>
      </c>
      <c r="F5" s="6">
        <v>9</v>
      </c>
      <c r="G5" s="6">
        <v>9</v>
      </c>
      <c r="H5" s="6">
        <v>9</v>
      </c>
      <c r="I5" s="6">
        <v>9</v>
      </c>
      <c r="J5" s="6">
        <v>6</v>
      </c>
      <c r="K5" s="6">
        <v>6</v>
      </c>
      <c r="L5" s="6">
        <v>6</v>
      </c>
      <c r="M5" s="6">
        <v>6</v>
      </c>
      <c r="N5" s="6">
        <v>6</v>
      </c>
      <c r="O5" s="7">
        <f>((E5+J5)/70)*((F5+K5)/70)*((G5+L5)/70)*((H5+M5)/70)*((I5+N5)/70)</f>
        <v>0</v>
      </c>
      <c r="P5" s="7">
        <f>(E5/70)*(F5/70)*(G5/70)*(H5/70)*(I5/70)</f>
        <v>0</v>
      </c>
      <c r="Q5" s="7">
        <f>(P5*B5) + ((O5-P5)*B5*3)</f>
        <v>0</v>
      </c>
      <c r="R5" s="7">
        <f>((E5+J5)/70)*((F5+K5)/70)*((G5+L5)/70)*((H5+M5)/70)*(1-((I5+N5)/70))</f>
        <v>0</v>
      </c>
      <c r="S5" s="7">
        <f>(E5/70)*(F5/70)*(G5/70)*(H5/70)*(1-(I5/70))</f>
        <v>0</v>
      </c>
      <c r="T5" s="7">
        <f>(S5*C5) + ((R5-S5)*C5*3)</f>
        <v>0</v>
      </c>
      <c r="U5" s="7">
        <f>((E5+J5)/70)*((F5+K5)/70)*((G5+L5)/70)*(1-((H5+M5)/70))</f>
        <v>0</v>
      </c>
      <c r="V5" s="7">
        <f>(E5/70)*(F5/70)*(G5/70)*(1-(H5/70))</f>
        <v>0</v>
      </c>
      <c r="W5" s="7">
        <f>(V5*D5) + ((U5-V5)*D5*3)</f>
        <v>0</v>
      </c>
      <c r="X5" s="7">
        <f>Q5+T5+W5</f>
        <v>0</v>
      </c>
    </row>
    <row r="6" spans="1:24">
      <c r="A6" s="6" t="s">
        <v>28</v>
      </c>
      <c r="B6" s="6">
        <v>230</v>
      </c>
      <c r="C6" s="6">
        <v>55</v>
      </c>
      <c r="D6" s="6">
        <v>20</v>
      </c>
      <c r="E6" s="6">
        <v>9</v>
      </c>
      <c r="F6" s="6">
        <v>9</v>
      </c>
      <c r="G6" s="6">
        <v>9</v>
      </c>
      <c r="H6" s="6">
        <v>9</v>
      </c>
      <c r="I6" s="6">
        <v>9</v>
      </c>
      <c r="J6" s="6">
        <v>6</v>
      </c>
      <c r="K6" s="6">
        <v>6</v>
      </c>
      <c r="L6" s="6">
        <v>6</v>
      </c>
      <c r="M6" s="6">
        <v>6</v>
      </c>
      <c r="N6" s="6">
        <v>6</v>
      </c>
      <c r="O6" s="7">
        <f>((E6+J6)/70)*((F6+K6)/70)*((G6+L6)/70)*((H6+M6)/70)*((I6+N6)/70)</f>
        <v>0</v>
      </c>
      <c r="P6" s="7">
        <f>(E6/70)*(F6/70)*(G6/70)*(H6/70)*(I6/70)</f>
        <v>0</v>
      </c>
      <c r="Q6" s="7">
        <f>(P6*B6) + ((O6-P6)*B6*3)</f>
        <v>0</v>
      </c>
      <c r="R6" s="7">
        <f>((E6+J6)/70)*((F6+K6)/70)*((G6+L6)/70)*((H6+M6)/70)*(1-((I6+N6)/70))</f>
        <v>0</v>
      </c>
      <c r="S6" s="7">
        <f>(E6/70)*(F6/70)*(G6/70)*(H6/70)*(1-(I6/70))</f>
        <v>0</v>
      </c>
      <c r="T6" s="7">
        <f>(S6*C6) + ((R6-S6)*C6*3)</f>
        <v>0</v>
      </c>
      <c r="U6" s="7">
        <f>((E6+J6)/70)*((F6+K6)/70)*((G6+L6)/70)*(1-((H6+M6)/70))</f>
        <v>0</v>
      </c>
      <c r="V6" s="7">
        <f>(E6/70)*(F6/70)*(G6/70)*(1-(H6/70))</f>
        <v>0</v>
      </c>
      <c r="W6" s="7">
        <f>(V6*D6) + ((U6-V6)*D6*3)</f>
        <v>0</v>
      </c>
      <c r="X6" s="7">
        <f>Q6+T6+W6</f>
        <v>0</v>
      </c>
    </row>
    <row r="7" spans="1:24">
      <c r="A7" s="6" t="s">
        <v>29</v>
      </c>
      <c r="B7" s="6">
        <v>560</v>
      </c>
      <c r="C7" s="6">
        <v>95</v>
      </c>
      <c r="D7" s="6">
        <v>32</v>
      </c>
      <c r="E7" s="6">
        <v>9</v>
      </c>
      <c r="F7" s="6">
        <v>9</v>
      </c>
      <c r="G7" s="6">
        <v>9</v>
      </c>
      <c r="H7" s="6">
        <v>9</v>
      </c>
      <c r="I7" s="6">
        <v>9</v>
      </c>
      <c r="J7" s="6">
        <v>6</v>
      </c>
      <c r="K7" s="6">
        <v>6</v>
      </c>
      <c r="L7" s="6">
        <v>6</v>
      </c>
      <c r="M7" s="6">
        <v>6</v>
      </c>
      <c r="N7" s="6">
        <v>6</v>
      </c>
      <c r="O7" s="7">
        <f>((E7+J7)/70)*((F7+K7)/70)*((G7+L7)/70)*((H7+M7)/70)*((I7+N7)/70)</f>
        <v>0</v>
      </c>
      <c r="P7" s="7">
        <f>(E7/70)*(F7/70)*(G7/70)*(H7/70)*(I7/70)</f>
        <v>0</v>
      </c>
      <c r="Q7" s="7">
        <f>(P7*B7) + ((O7-P7)*B7*3)</f>
        <v>0</v>
      </c>
      <c r="R7" s="7">
        <f>((E7+J7)/70)*((F7+K7)/70)*((G7+L7)/70)*((H7+M7)/70)*(1-((I7+N7)/70))</f>
        <v>0</v>
      </c>
      <c r="S7" s="7">
        <f>(E7/70)*(F7/70)*(G7/70)*(H7/70)*(1-(I7/70))</f>
        <v>0</v>
      </c>
      <c r="T7" s="7">
        <f>(S7*C7) + ((R7-S7)*C7*3)</f>
        <v>0</v>
      </c>
      <c r="U7" s="7">
        <f>((E7+J7)/70)*((F7+K7)/70)*((G7+L7)/70)*(1-((H7+M7)/70))</f>
        <v>0</v>
      </c>
      <c r="V7" s="7">
        <f>(E7/70)*(F7/70)*(G7/70)*(1-(H7/70))</f>
        <v>0</v>
      </c>
      <c r="W7" s="7">
        <f>(V7*D7) + ((U7-V7)*D7*3)</f>
        <v>0</v>
      </c>
      <c r="X7" s="7">
        <f>Q7+T7+W7</f>
        <v>0</v>
      </c>
    </row>
    <row r="8" spans="1:24">
      <c r="A8" s="6" t="s">
        <v>30</v>
      </c>
      <c r="B8" s="6">
        <v>560</v>
      </c>
      <c r="C8" s="6">
        <v>95</v>
      </c>
      <c r="D8" s="6">
        <v>32</v>
      </c>
      <c r="E8" s="6">
        <v>8</v>
      </c>
      <c r="F8" s="6">
        <v>8</v>
      </c>
      <c r="G8" s="6">
        <v>8</v>
      </c>
      <c r="H8" s="6">
        <v>8</v>
      </c>
      <c r="I8" s="6">
        <v>8</v>
      </c>
      <c r="J8" s="6">
        <v>6</v>
      </c>
      <c r="K8" s="6">
        <v>6</v>
      </c>
      <c r="L8" s="6">
        <v>6</v>
      </c>
      <c r="M8" s="6">
        <v>6</v>
      </c>
      <c r="N8" s="6">
        <v>6</v>
      </c>
      <c r="O8" s="7">
        <f>((E8+J8)/70)*((F8+K8)/70)*((G8+L8)/70)*((H8+M8)/70)*((I8+N8)/70)</f>
        <v>0</v>
      </c>
      <c r="P8" s="7">
        <f>(E8/70)*(F8/70)*(G8/70)*(H8/70)*(I8/70)</f>
        <v>0</v>
      </c>
      <c r="Q8" s="7">
        <f>(P8*B8) + ((O8-P8)*B8*3)</f>
        <v>0</v>
      </c>
      <c r="R8" s="7">
        <f>((E8+J8)/70)*((F8+K8)/70)*((G8+L8)/70)*((H8+M8)/70)*(1-((I8+N8)/70))</f>
        <v>0</v>
      </c>
      <c r="S8" s="7">
        <f>(E8/70)*(F8/70)*(G8/70)*(H8/70)*(1-(I8/70))</f>
        <v>0</v>
      </c>
      <c r="T8" s="7">
        <f>(S8*C8) + ((R8-S8)*C8*3)</f>
        <v>0</v>
      </c>
      <c r="U8" s="7">
        <f>((E8+J8)/70)*((F8+K8)/70)*((G8+L8)/70)*(1-((H8+M8)/70))</f>
        <v>0</v>
      </c>
      <c r="V8" s="7">
        <f>(E8/70)*(F8/70)*(G8/70)*(1-(H8/70))</f>
        <v>0</v>
      </c>
      <c r="W8" s="7">
        <f>(V8*D8) + ((U8-V8)*D8*3)</f>
        <v>0</v>
      </c>
      <c r="X8" s="7">
        <f>Q8+T8+W8</f>
        <v>0</v>
      </c>
    </row>
    <row r="9" spans="1:24">
      <c r="A9" s="6" t="s">
        <v>33</v>
      </c>
      <c r="B9" s="6">
        <v>1600</v>
      </c>
      <c r="J9" s="6">
        <v>6</v>
      </c>
      <c r="K9" s="6">
        <v>6</v>
      </c>
      <c r="L9" s="6">
        <v>6</v>
      </c>
      <c r="M9" s="6">
        <v>6</v>
      </c>
      <c r="N9" s="6">
        <v>6</v>
      </c>
      <c r="O9" s="7">
        <f>(J9/70)*(K9/70)*(L9/70)*(M9/70)*(N9/70)</f>
        <v>0</v>
      </c>
      <c r="X9" s="7">
        <f>O9*B9*3</f>
        <v>0</v>
      </c>
    </row>
    <row r="10" spans="1:24">
      <c r="W10" s="5" t="s">
        <v>32</v>
      </c>
      <c r="X10" s="7">
        <f>SUM(X2,X3,X4,X5,X6,X7,X8,X9)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 RTP</vt:lpstr>
      <vt:lpstr>Base Game</vt:lpstr>
      <vt:lpstr>FS_Wild5_x1</vt:lpstr>
      <vt:lpstr>FS_Wild6_x2</vt:lpstr>
      <vt:lpstr>FS_Wild7_x2</vt:lpstr>
      <vt:lpstr>FS_Wild8_x3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2025-12-12T01:23:54Z</dcterms:created>
  <dcterms:modified xsi:type="dcterms:W3CDTF">2025-12-12T01:23:54Z</dcterms:modified>
</cp:coreProperties>
</file>
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 RTP" sheetId="1" r:id="rId1"/>
    <sheet name="Desglose Free Spins" sheetId="2" r:id="rId2"/>
    <sheet name="Matemática Base" sheetId="3" r:id="rId3"/>
  </sheets>
  <calcPr calcId="124519" fullCalcOnLoad="1"/>
</workbook>
</file>

<file path=xl/sharedStrings.xml><?xml version="1.0" encoding="utf-8"?>
<sst xmlns="http://schemas.openxmlformats.org/spreadsheetml/2006/main" count="40" uniqueCount="40">
  <si>
    <t>PARÁMETRO</t>
  </si>
  <si>
    <t>VALOR</t>
  </si>
  <si>
    <t>RTP Teórico Total</t>
  </si>
  <si>
    <t>RTP Juego Base</t>
  </si>
  <si>
    <t>RTP Free Spins (Ponderado)</t>
  </si>
  <si>
    <t>RTP Jackpot</t>
  </si>
  <si>
    <t>Contribución Jackpot</t>
  </si>
  <si>
    <t>Apuesta Base</t>
  </si>
  <si>
    <t>Escenario (Wild)</t>
  </si>
  <si>
    <t>Probabilidad (Peso)</t>
  </si>
  <si>
    <t>EV por Giro (%)</t>
  </si>
  <si>
    <t>EV Ponderado</t>
  </si>
  <si>
    <t>Contribución Final</t>
  </si>
  <si>
    <t>Simbolo 5 (x1)</t>
  </si>
  <si>
    <t>Simbolo 6 (x2)</t>
  </si>
  <si>
    <t>Simbolo 7 (x2)</t>
  </si>
  <si>
    <t>Simbolo 8 (x3)</t>
  </si>
  <si>
    <t>EV PROMEDIO:</t>
  </si>
  <si>
    <t>Probabilidad Entrada</t>
  </si>
  <si>
    <t>Giros Promedio</t>
  </si>
  <si>
    <t>RTP TOTAL FS</t>
  </si>
  <si>
    <t>Symbol</t>
  </si>
  <si>
    <t>Reel 1</t>
  </si>
  <si>
    <t>Reel 2</t>
  </si>
  <si>
    <t>Reel 3</t>
  </si>
  <si>
    <t>Reel 4</t>
  </si>
  <si>
    <t>Reel 5</t>
  </si>
  <si>
    <t>Hits 5</t>
  </si>
  <si>
    <t>Hits 4</t>
  </si>
  <si>
    <t>Hits 3</t>
  </si>
  <si>
    <t>Total Pay</t>
  </si>
  <si>
    <t>Contrib %</t>
  </si>
  <si>
    <t>L1</t>
  </si>
  <si>
    <t>L2</t>
  </si>
  <si>
    <t>L3</t>
  </si>
  <si>
    <t>L4</t>
  </si>
  <si>
    <t>H1</t>
  </si>
  <si>
    <t>H2</t>
  </si>
  <si>
    <t>H3</t>
  </si>
  <si>
    <t>H4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</si>
</sst>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indexed="64"/>
      </patternFill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/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2" width="25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>
        <f>B4+B5+B6</f>
        <v>0.9617</v>
      </c>
    </row>
    <row r="4" spans="1:2">
      <c r="A4" s="4" t="s">
        <v>3</v>
      </c>
      <c r="B4" s="3">
        <v>0.4634</v>
      </c>
    </row>
    <row r="5" spans="1:2">
      <c r="A5" s="4" t="s">
        <v>4</v>
      </c>
      <c r="B5" s="3">
        <f>'Desglose Free Spins'!E8</f>
        <v>0.4383</v>
      </c>
    </row>
    <row r="6" spans="1:2">
      <c r="A6" s="4" t="s">
        <v>5</v>
      </c>
      <c r="B6" s="3">
        <v>0.06</v>
      </c>
    </row>
    <row r="8" spans="1:2">
      <c r="A8" s="4" t="s">
        <v>6</v>
      </c>
      <c r="B8">
        <v>0.5</v>
      </c>
    </row>
    <row r="9" spans="1:2">
      <c r="A9" s="4" t="s">
        <v>7</v>
      </c>
      <c r="B9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sheetFormatPr defaultRowHeight="15"/>
  <cols>
    <col min="1" max="1" width="20.7109375" customWidth="1"/>
    <col min="2" max="5" width="15.7109375" customWidth="1"/>
  </cols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 s="4" t="s">
        <v>13</v>
      </c>
      <c r="B2" s="3">
        <v>0.3253</v>
      </c>
      <c r="C2" s="3">
        <v>5.320057360028557</v>
      </c>
      <c r="D2" s="3">
        <f>B2*C2</f>
        <v>0</v>
      </c>
    </row>
    <row r="3" spans="1:5">
      <c r="A3" s="4" t="s">
        <v>14</v>
      </c>
      <c r="B3" s="3">
        <v>0.2747</v>
      </c>
      <c r="C3" s="3">
        <v>9.050241098946865</v>
      </c>
      <c r="D3" s="3">
        <f>B3*C3</f>
        <v>0</v>
      </c>
    </row>
    <row r="4" spans="1:5">
      <c r="A4" s="4" t="s">
        <v>15</v>
      </c>
      <c r="B4" s="3">
        <v>0.3</v>
      </c>
      <c r="C4" s="3">
        <v>7.486131593978697</v>
      </c>
      <c r="D4" s="3">
        <f>B4*C4</f>
        <v>0</v>
      </c>
    </row>
    <row r="5" spans="1:5">
      <c r="A5" s="4" t="s">
        <v>16</v>
      </c>
      <c r="B5" s="3">
        <v>0.1</v>
      </c>
      <c r="C5" s="3">
        <v>6.127981715951687</v>
      </c>
      <c r="D5" s="3">
        <f>B5*C5</f>
        <v>0</v>
      </c>
    </row>
    <row r="6" spans="1:5">
      <c r="C6" s="2" t="s">
        <v>17</v>
      </c>
      <c r="D6" s="3">
        <f>SUM(D2:D5)</f>
        <v>0</v>
      </c>
    </row>
    <row r="8" spans="1:5">
      <c r="A8" s="4" t="s">
        <v>18</v>
      </c>
      <c r="B8" s="3">
        <v>0.00605</v>
      </c>
      <c r="E8" s="3">
        <f>B10</f>
        <v>0</v>
      </c>
    </row>
    <row r="9" spans="1:5">
      <c r="A9" s="4" t="s">
        <v>19</v>
      </c>
      <c r="B9" s="5">
        <v>10.24</v>
      </c>
    </row>
    <row r="10" spans="1:5">
      <c r="A10" s="2" t="s">
        <v>20</v>
      </c>
      <c r="B10" s="3">
        <f>D6*B8*B9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9"/>
  <sheetViews>
    <sheetView workbookViewId="0"/>
  </sheetViews>
  <sheetFormatPr defaultRowHeight="15"/>
  <sheetData>
    <row r="1" spans="1:1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>
      <c r="A2" s="4" t="s">
        <v>32</v>
      </c>
      <c r="B2" s="4">
        <v>18</v>
      </c>
      <c r="C2" s="4">
        <v>18</v>
      </c>
      <c r="D2" s="4">
        <v>17</v>
      </c>
      <c r="E2" s="4">
        <v>18</v>
      </c>
      <c r="F2" s="4">
        <v>16</v>
      </c>
      <c r="G2" s="4">
        <f>PRODUCT(B2:F2)</f>
        <v>0</v>
      </c>
      <c r="H2" s="4">
        <f>B2*C2*D2*E2*(99-F2)</f>
        <v>0</v>
      </c>
      <c r="I2" s="4">
        <f>B2*C2*D2*(98-E2)*99</f>
        <v>0</v>
      </c>
      <c r="J2" s="4">
        <f>(G2*70)+(H2*25)+(I2*10)</f>
        <v>0</v>
      </c>
      <c r="K2" s="3">
        <f>(J2/9318751596)/25</f>
        <v>0</v>
      </c>
    </row>
    <row r="3" spans="1:11">
      <c r="A3" s="4" t="s">
        <v>33</v>
      </c>
      <c r="B3" s="4">
        <v>19</v>
      </c>
      <c r="C3" s="4">
        <v>19</v>
      </c>
      <c r="D3" s="4">
        <v>19</v>
      </c>
      <c r="E3" s="4">
        <v>17</v>
      </c>
      <c r="F3" s="4">
        <v>13</v>
      </c>
      <c r="G3" s="4">
        <f>PRODUCT(B3:F3)</f>
        <v>0</v>
      </c>
      <c r="H3" s="4">
        <f>B3*C3*D3*E3*(99-F3)</f>
        <v>0</v>
      </c>
      <c r="I3" s="4">
        <f>B3*C3*D3*(98-E3)*99</f>
        <v>0</v>
      </c>
      <c r="J3" s="4">
        <f>(G3*70)+(H3*25)+(I3*10)</f>
        <v>0</v>
      </c>
      <c r="K3" s="3">
        <f>(J3/9318751596)/25</f>
        <v>0</v>
      </c>
    </row>
    <row r="4" spans="1:11">
      <c r="A4" s="4" t="s">
        <v>34</v>
      </c>
      <c r="B4" s="4">
        <v>19</v>
      </c>
      <c r="C4" s="4">
        <v>18</v>
      </c>
      <c r="D4" s="4">
        <v>18</v>
      </c>
      <c r="E4" s="4">
        <v>17</v>
      </c>
      <c r="F4" s="4">
        <v>14</v>
      </c>
      <c r="G4" s="4">
        <f>PRODUCT(B4:F4)</f>
        <v>0</v>
      </c>
      <c r="H4" s="4">
        <f>B4*C4*D4*E4*(99-F4)</f>
        <v>0</v>
      </c>
      <c r="I4" s="4">
        <f>B4*C4*D4*(98-E4)*99</f>
        <v>0</v>
      </c>
      <c r="J4" s="4">
        <f>(G4*110)+(H4*40)+(I4*15)</f>
        <v>0</v>
      </c>
      <c r="K4" s="3">
        <f>(J4/9318751596)/25</f>
        <v>0</v>
      </c>
    </row>
    <row r="5" spans="1:11">
      <c r="A5" s="4" t="s">
        <v>35</v>
      </c>
      <c r="B5" s="4">
        <v>18</v>
      </c>
      <c r="C5" s="4">
        <v>18</v>
      </c>
      <c r="D5" s="4">
        <v>17</v>
      </c>
      <c r="E5" s="4">
        <v>16</v>
      </c>
      <c r="F5" s="4">
        <v>16</v>
      </c>
      <c r="G5" s="4">
        <f>PRODUCT(B5:F5)</f>
        <v>0</v>
      </c>
      <c r="H5" s="4">
        <f>B5*C5*D5*E5*(99-F5)</f>
        <v>0</v>
      </c>
      <c r="I5" s="4">
        <f>B5*C5*D5*(98-E5)*99</f>
        <v>0</v>
      </c>
      <c r="J5" s="4">
        <f>(G5*110)+(H5*40)+(I5*15)</f>
        <v>0</v>
      </c>
      <c r="K5" s="3">
        <f>(J5/9318751596)/25</f>
        <v>0</v>
      </c>
    </row>
    <row r="6" spans="1:11">
      <c r="A6" s="4" t="s">
        <v>36</v>
      </c>
      <c r="B6" s="4">
        <v>7</v>
      </c>
      <c r="C6" s="4">
        <v>7</v>
      </c>
      <c r="D6" s="4">
        <v>8</v>
      </c>
      <c r="E6" s="4">
        <v>8</v>
      </c>
      <c r="F6" s="4">
        <v>9</v>
      </c>
      <c r="G6" s="4">
        <f>PRODUCT(B6:F6)</f>
        <v>0</v>
      </c>
      <c r="H6" s="4">
        <f>B6*C6*D6*E6*(99-F6)</f>
        <v>0</v>
      </c>
      <c r="I6" s="4">
        <f>B6*C6*D6*(98-E6)*99</f>
        <v>0</v>
      </c>
      <c r="J6" s="4">
        <f>(G6*230)+(H6*55)+(I6*20)</f>
        <v>0</v>
      </c>
      <c r="K6" s="3">
        <f>(J6/9318751596)/25</f>
        <v>0</v>
      </c>
    </row>
    <row r="7" spans="1:11">
      <c r="A7" s="4" t="s">
        <v>37</v>
      </c>
      <c r="B7" s="4">
        <v>6</v>
      </c>
      <c r="C7" s="4">
        <v>6</v>
      </c>
      <c r="D7" s="4">
        <v>6</v>
      </c>
      <c r="E7" s="4">
        <v>7</v>
      </c>
      <c r="F7" s="4">
        <v>9</v>
      </c>
      <c r="G7" s="4">
        <f>PRODUCT(B7:F7)</f>
        <v>0</v>
      </c>
      <c r="H7" s="4">
        <f>B7*C7*D7*E7*(99-F7)</f>
        <v>0</v>
      </c>
      <c r="I7" s="4">
        <f>B7*C7*D7*(98-E7)*99</f>
        <v>0</v>
      </c>
      <c r="J7" s="4">
        <f>(G7*560)+(H7*95)+(I7*32)</f>
        <v>0</v>
      </c>
      <c r="K7" s="3">
        <f>(J7/9318751596)/25</f>
        <v>0</v>
      </c>
    </row>
    <row r="8" spans="1:11">
      <c r="A8" s="4" t="s">
        <v>38</v>
      </c>
      <c r="B8" s="4">
        <v>5</v>
      </c>
      <c r="C8" s="4">
        <v>5</v>
      </c>
      <c r="D8" s="4">
        <v>6</v>
      </c>
      <c r="E8" s="4">
        <v>7</v>
      </c>
      <c r="F8" s="4">
        <v>10</v>
      </c>
      <c r="G8" s="4">
        <f>PRODUCT(B8:F8)</f>
        <v>0</v>
      </c>
      <c r="H8" s="4">
        <f>B8*C8*D8*E8*(99-F8)</f>
        <v>0</v>
      </c>
      <c r="I8" s="4">
        <f>B8*C8*D8*(98-E8)*99</f>
        <v>0</v>
      </c>
      <c r="J8" s="4">
        <f>(G8*560)+(H8*95)+(I8*32)</f>
        <v>0</v>
      </c>
      <c r="K8" s="3">
        <f>(J8/9318751596)/25</f>
        <v>0</v>
      </c>
    </row>
    <row r="9" spans="1:11">
      <c r="A9" s="4" t="s">
        <v>39</v>
      </c>
      <c r="B9" s="4">
        <v>4</v>
      </c>
      <c r="C9" s="4">
        <v>4</v>
      </c>
      <c r="D9" s="4">
        <v>5</v>
      </c>
      <c r="E9" s="4">
        <v>5</v>
      </c>
      <c r="F9" s="4">
        <v>9</v>
      </c>
      <c r="G9" s="4">
        <f>PRODUCT(B9:F9)</f>
        <v>0</v>
      </c>
      <c r="H9" s="4">
        <f>B9*C9*D9*E9*(99-F9)</f>
        <v>0</v>
      </c>
      <c r="I9" s="4">
        <f>B9*C9*D9*(98-E9)*99</f>
        <v>0</v>
      </c>
      <c r="J9" s="4">
        <f>(G9*1600)+(H9*200)+(I9*50)</f>
        <v>0</v>
      </c>
      <c r="K9" s="3">
        <f>(J9/9318751596)/25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Resumen RTP</vt:lpstr>
      <vt:lpstr>Desglose Free Spins</vt:lpstr>
      <vt:lpstr>Matemática Base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2025-12-10T17:39:06Z</dcterms:created>
  <dcterms:modified xsi:type="dcterms:W3CDTF">2025-12-10T17:39:06Z</dcterms:modified>
</cp:coreProperties>
</file>